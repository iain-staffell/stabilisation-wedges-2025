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istaffel_ic_ac_uk/Documents/Nathan &amp; Iain Folder/~ Wedges paper/Code and Data - Submission 2/"/>
    </mc:Choice>
  </mc:AlternateContent>
  <xr:revisionPtr revIDLastSave="85" documentId="13_ncr:1_{17787BCD-F3D9-4239-B019-6415FC27D6C6}" xr6:coauthVersionLast="47" xr6:coauthVersionMax="47" xr10:uidLastSave="{4A6A8270-F698-487A-B8C4-1A66ADCEEEC1}"/>
  <bookViews>
    <workbookView xWindow="855" yWindow="-120" windowWidth="28065" windowHeight="16440" xr2:uid="{14C3A848-E55B-4CE3-AACB-8601D1D1106B}"/>
  </bookViews>
  <sheets>
    <sheet name="Meta" sheetId="1" r:id="rId1"/>
    <sheet name="Fig1" sheetId="2" r:id="rId2"/>
    <sheet name="Fig2Fig3" sheetId="5" r:id="rId3"/>
    <sheet name="Fig2Fig3Context" sheetId="6" r:id="rId4"/>
    <sheet name="Fig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G2" i="5"/>
  <c r="H2" i="5"/>
  <c r="I2" i="5"/>
  <c r="Q2" i="5"/>
  <c r="R2" i="5"/>
  <c r="S2" i="5"/>
  <c r="T2" i="5"/>
  <c r="E3" i="5"/>
  <c r="G3" i="5"/>
  <c r="H3" i="5"/>
  <c r="I3" i="5"/>
  <c r="Q3" i="5"/>
  <c r="R3" i="5"/>
  <c r="S3" i="5"/>
  <c r="T3" i="5"/>
  <c r="E4" i="5"/>
  <c r="G4" i="5"/>
  <c r="H4" i="5"/>
  <c r="I4" i="5"/>
  <c r="Q4" i="5"/>
  <c r="R4" i="5"/>
  <c r="S4" i="5"/>
  <c r="T4" i="5"/>
  <c r="E5" i="5"/>
  <c r="G5" i="5"/>
  <c r="H5" i="5"/>
  <c r="I5" i="5"/>
  <c r="Q5" i="5"/>
  <c r="R5" i="5"/>
  <c r="S5" i="5"/>
  <c r="T5" i="5"/>
  <c r="E6" i="5"/>
  <c r="G6" i="5"/>
  <c r="H6" i="5"/>
  <c r="I6" i="5"/>
  <c r="Q6" i="5"/>
  <c r="R6" i="5"/>
  <c r="S6" i="5"/>
  <c r="T6" i="5"/>
  <c r="E7" i="5"/>
  <c r="G7" i="5"/>
  <c r="H7" i="5"/>
  <c r="I7" i="5"/>
  <c r="Q7" i="5"/>
  <c r="R7" i="5"/>
  <c r="S7" i="5"/>
  <c r="T7" i="5"/>
  <c r="E8" i="5"/>
  <c r="G8" i="5"/>
  <c r="H8" i="5"/>
  <c r="I8" i="5"/>
  <c r="Q8" i="5"/>
  <c r="R8" i="5"/>
  <c r="S8" i="5"/>
  <c r="T8" i="5"/>
  <c r="E9" i="5"/>
  <c r="G9" i="5"/>
  <c r="H9" i="5"/>
  <c r="I9" i="5"/>
  <c r="Q9" i="5"/>
  <c r="R9" i="5"/>
  <c r="S9" i="5"/>
  <c r="T9" i="5"/>
  <c r="E10" i="5"/>
  <c r="G10" i="5"/>
  <c r="H10" i="5"/>
  <c r="I10" i="5"/>
  <c r="Q10" i="5"/>
  <c r="R10" i="5"/>
  <c r="S10" i="5"/>
  <c r="T10" i="5"/>
  <c r="D11" i="5"/>
  <c r="E11" i="5"/>
  <c r="G11" i="5"/>
  <c r="H11" i="5"/>
  <c r="I11" i="5"/>
  <c r="Q11" i="5"/>
  <c r="R11" i="5"/>
  <c r="S11" i="5"/>
  <c r="T11" i="5"/>
  <c r="D12" i="5"/>
  <c r="E12" i="5"/>
  <c r="G12" i="5"/>
  <c r="H12" i="5"/>
  <c r="I12" i="5"/>
  <c r="Q12" i="5"/>
  <c r="R12" i="5"/>
  <c r="S12" i="5"/>
  <c r="T12" i="5"/>
  <c r="E13" i="5"/>
  <c r="G13" i="5"/>
  <c r="H13" i="5"/>
  <c r="I13" i="5"/>
  <c r="Q13" i="5"/>
  <c r="R13" i="5"/>
  <c r="S13" i="5"/>
  <c r="T13" i="5"/>
  <c r="G14" i="5"/>
  <c r="H14" i="5"/>
  <c r="I14" i="5"/>
  <c r="Q14" i="5"/>
  <c r="R14" i="5"/>
  <c r="S14" i="5"/>
  <c r="T14" i="5"/>
  <c r="G15" i="5"/>
  <c r="H15" i="5"/>
  <c r="I15" i="5"/>
  <c r="Q15" i="5"/>
  <c r="R15" i="5"/>
  <c r="S15" i="5"/>
  <c r="T15" i="5"/>
  <c r="D16" i="5"/>
  <c r="G16" i="5"/>
  <c r="H16" i="5"/>
  <c r="I16" i="5"/>
  <c r="Q16" i="5"/>
  <c r="R16" i="5"/>
  <c r="S16" i="5"/>
  <c r="T16" i="5"/>
  <c r="G17" i="5"/>
  <c r="H17" i="5"/>
  <c r="I17" i="5"/>
  <c r="Q17" i="5"/>
  <c r="R17" i="5"/>
  <c r="S17" i="5"/>
  <c r="E18" i="5"/>
  <c r="G18" i="5"/>
  <c r="H18" i="5"/>
  <c r="I18" i="5"/>
  <c r="Q18" i="5"/>
  <c r="R18" i="5"/>
  <c r="S18" i="5"/>
  <c r="T18" i="5"/>
  <c r="E19" i="5"/>
  <c r="G19" i="5"/>
  <c r="J19" i="5"/>
  <c r="E20" i="5"/>
  <c r="G20" i="5"/>
  <c r="H20" i="5"/>
  <c r="I20" i="5"/>
  <c r="Q20" i="5"/>
  <c r="R20" i="5"/>
  <c r="S20" i="5"/>
  <c r="T20" i="5"/>
  <c r="E21" i="5"/>
  <c r="G21" i="5"/>
  <c r="H21" i="5"/>
  <c r="I21" i="5"/>
  <c r="Q22" i="5"/>
  <c r="R22" i="5"/>
  <c r="S22" i="5"/>
  <c r="T22" i="5"/>
  <c r="Q23" i="5"/>
  <c r="R23" i="5"/>
  <c r="S23" i="5"/>
  <c r="T23" i="5"/>
  <c r="E24" i="5"/>
  <c r="M24" i="5"/>
  <c r="N24" i="5"/>
  <c r="R24" i="5" s="1"/>
  <c r="O24" i="5"/>
  <c r="S24" i="5" s="1"/>
  <c r="P24" i="5"/>
  <c r="T24" i="5" s="1"/>
  <c r="E25" i="5"/>
  <c r="Q25" i="5"/>
  <c r="R25" i="5"/>
  <c r="S25" i="5"/>
  <c r="T25" i="5"/>
  <c r="E26" i="5"/>
  <c r="Q26" i="5"/>
  <c r="R26" i="5"/>
  <c r="S26" i="5"/>
  <c r="T26" i="5"/>
  <c r="E27" i="5"/>
  <c r="G27" i="5"/>
  <c r="H27" i="5"/>
  <c r="I27" i="5"/>
  <c r="Q27" i="5"/>
  <c r="R27" i="5"/>
  <c r="S27" i="5"/>
  <c r="T27" i="5"/>
  <c r="G28" i="5"/>
  <c r="H28" i="5"/>
  <c r="I28" i="5"/>
  <c r="Q28" i="5"/>
  <c r="R28" i="5"/>
  <c r="S28" i="5"/>
  <c r="T28" i="5"/>
  <c r="G29" i="5"/>
  <c r="J29" i="5"/>
  <c r="E30" i="5"/>
  <c r="G30" i="5"/>
  <c r="H30" i="5"/>
  <c r="I30" i="5"/>
  <c r="J30" i="5"/>
  <c r="K30" i="5"/>
  <c r="L30" i="5"/>
  <c r="E31" i="5"/>
  <c r="G31" i="5"/>
  <c r="H31" i="5"/>
  <c r="I31" i="5"/>
  <c r="J31" i="5"/>
  <c r="K31" i="5"/>
  <c r="L31" i="5"/>
  <c r="G32" i="5"/>
  <c r="H32" i="5"/>
  <c r="I32" i="5"/>
  <c r="J32" i="5"/>
  <c r="K32" i="5"/>
  <c r="L32" i="5"/>
  <c r="G33" i="5"/>
  <c r="H33" i="5"/>
  <c r="I33" i="5"/>
  <c r="J33" i="5"/>
  <c r="K33" i="5"/>
  <c r="L33" i="5"/>
  <c r="G34" i="5"/>
  <c r="H34" i="5"/>
  <c r="I34" i="5"/>
  <c r="J34" i="5"/>
  <c r="K34" i="5"/>
  <c r="L34" i="5"/>
  <c r="E35" i="5"/>
  <c r="G35" i="5"/>
  <c r="J35" i="5"/>
  <c r="G36" i="5"/>
  <c r="H36" i="5"/>
  <c r="I36" i="5"/>
  <c r="J36" i="5"/>
  <c r="K36" i="5"/>
  <c r="L36" i="5"/>
  <c r="E37" i="5"/>
  <c r="G37" i="5"/>
  <c r="H37" i="5"/>
  <c r="I37" i="5"/>
  <c r="J37" i="5"/>
  <c r="K37" i="5"/>
  <c r="L37" i="5"/>
  <c r="G38" i="5"/>
  <c r="H38" i="5"/>
  <c r="I38" i="5"/>
  <c r="J38" i="5"/>
  <c r="K38" i="5"/>
  <c r="L38" i="5"/>
  <c r="G39" i="5"/>
  <c r="H39" i="5"/>
  <c r="I39" i="5"/>
  <c r="J39" i="5"/>
  <c r="K39" i="5"/>
  <c r="L39" i="5"/>
  <c r="G40" i="5"/>
  <c r="H40" i="5"/>
  <c r="I40" i="5"/>
  <c r="J40" i="5"/>
  <c r="K40" i="5"/>
  <c r="L40" i="5"/>
  <c r="G41" i="5"/>
  <c r="J41" i="5"/>
  <c r="D42" i="5"/>
  <c r="G42" i="5"/>
  <c r="J42" i="5"/>
  <c r="D2" i="2"/>
  <c r="C3" i="2"/>
  <c r="D3" i="2" s="1"/>
  <c r="J18" i="5" l="1"/>
  <c r="J13" i="5"/>
  <c r="L9" i="5"/>
  <c r="L8" i="5"/>
  <c r="L2" i="5"/>
  <c r="J5" i="5"/>
  <c r="J14" i="5"/>
  <c r="L18" i="5"/>
  <c r="K21" i="5"/>
  <c r="J7" i="5"/>
  <c r="J21" i="5"/>
  <c r="L14" i="5"/>
  <c r="J10" i="5"/>
  <c r="K7" i="5"/>
  <c r="J4" i="5"/>
  <c r="J28" i="5"/>
  <c r="J17" i="5"/>
  <c r="K14" i="5"/>
  <c r="H24" i="5"/>
  <c r="K8" i="5"/>
  <c r="J11" i="5"/>
  <c r="K18" i="5"/>
  <c r="J15" i="5"/>
  <c r="J12" i="5"/>
  <c r="J20" i="5"/>
  <c r="J9" i="5"/>
  <c r="L27" i="5"/>
  <c r="J16" i="5"/>
  <c r="K13" i="5"/>
  <c r="J6" i="5"/>
  <c r="J3" i="5"/>
  <c r="K2" i="5"/>
  <c r="J2" i="5"/>
  <c r="L12" i="5"/>
  <c r="L11" i="5"/>
  <c r="L10" i="5"/>
  <c r="K9" i="5"/>
  <c r="J8" i="5"/>
  <c r="L15" i="5"/>
  <c r="K27" i="5"/>
  <c r="K3" i="5"/>
  <c r="L28" i="5"/>
  <c r="G24" i="5"/>
  <c r="Q24" i="5"/>
  <c r="L13" i="5"/>
  <c r="K12" i="5"/>
  <c r="K11" i="5"/>
  <c r="K10" i="5"/>
  <c r="L3" i="5"/>
  <c r="L16" i="5"/>
  <c r="J27" i="5"/>
  <c r="K16" i="5"/>
  <c r="L5" i="5"/>
  <c r="L20" i="5"/>
  <c r="L17" i="5"/>
  <c r="K5" i="5"/>
  <c r="L21" i="5"/>
  <c r="L7" i="5"/>
  <c r="K6" i="5"/>
  <c r="K15" i="5"/>
  <c r="L4" i="5"/>
  <c r="K4" i="5"/>
  <c r="K28" i="5"/>
  <c r="L6" i="5"/>
  <c r="I24" i="5"/>
  <c r="K20" i="5"/>
  <c r="K17" i="5"/>
  <c r="C4" i="2"/>
  <c r="J24" i="5" l="1"/>
  <c r="K24" i="5"/>
  <c r="L24" i="5"/>
  <c r="D4" i="2"/>
  <c r="C5" i="2"/>
  <c r="D5" i="2" l="1"/>
  <c r="C6" i="2"/>
  <c r="D6" i="2" l="1"/>
  <c r="C7" i="2"/>
  <c r="D7" i="2" l="1"/>
  <c r="C8" i="2"/>
  <c r="D8" i="2" l="1"/>
  <c r="C9" i="2"/>
  <c r="D9" i="2" l="1"/>
  <c r="C10" i="2"/>
  <c r="D10" i="2" l="1"/>
  <c r="C11" i="2"/>
  <c r="C12" i="2" l="1"/>
  <c r="D11" i="2"/>
  <c r="D12" i="2" l="1"/>
  <c r="C13" i="2"/>
  <c r="D13" i="2" l="1"/>
  <c r="C14" i="2"/>
  <c r="D14" i="2" l="1"/>
  <c r="C15" i="2"/>
  <c r="D15" i="2" l="1"/>
  <c r="C16" i="2"/>
  <c r="C17" i="2" l="1"/>
  <c r="D16" i="2"/>
  <c r="C18" i="2" l="1"/>
  <c r="D17" i="2"/>
  <c r="C19" i="2" l="1"/>
  <c r="D18" i="2"/>
  <c r="D19" i="2" l="1"/>
  <c r="C20" i="2"/>
  <c r="C21" i="2" l="1"/>
  <c r="D20" i="2"/>
  <c r="D21" i="2" l="1"/>
  <c r="C22" i="2"/>
  <c r="C23" i="2" l="1"/>
  <c r="D22" i="2"/>
  <c r="C24" i="2" l="1"/>
  <c r="D23" i="2"/>
  <c r="D24" i="2" l="1"/>
  <c r="C25" i="2"/>
  <c r="C26" i="2" l="1"/>
  <c r="D25" i="2"/>
  <c r="D26" i="2" l="1"/>
  <c r="C27" i="2"/>
  <c r="C28" i="2" l="1"/>
  <c r="D27" i="2"/>
  <c r="D28" i="2" l="1"/>
  <c r="C29" i="2"/>
  <c r="D29" i="2" l="1"/>
  <c r="C30" i="2"/>
  <c r="C31" i="2" l="1"/>
  <c r="D30" i="2"/>
  <c r="D31" i="2" l="1"/>
  <c r="C32" i="2"/>
  <c r="D32" i="2" l="1"/>
  <c r="C33" i="2"/>
  <c r="D33" i="2" l="1"/>
  <c r="C34" i="2"/>
  <c r="C35" i="2" l="1"/>
  <c r="D34" i="2"/>
  <c r="D35" i="2" l="1"/>
  <c r="C36" i="2"/>
  <c r="D36" i="2" l="1"/>
  <c r="C37" i="2"/>
  <c r="D37" i="2" l="1"/>
  <c r="C38" i="2"/>
  <c r="D38" i="2" l="1"/>
  <c r="C39" i="2"/>
  <c r="D39" i="2" l="1"/>
  <c r="C40" i="2"/>
  <c r="D40" i="2" l="1"/>
  <c r="C41" i="2"/>
  <c r="C42" i="2" l="1"/>
  <c r="D41" i="2"/>
  <c r="D42" i="2" l="1"/>
  <c r="C43" i="2"/>
  <c r="C44" i="2" l="1"/>
  <c r="D43" i="2"/>
  <c r="D44" i="2" l="1"/>
  <c r="C45" i="2"/>
  <c r="C46" i="2" l="1"/>
  <c r="D45" i="2"/>
  <c r="D46" i="2" l="1"/>
  <c r="C47" i="2"/>
  <c r="D47" i="2" l="1"/>
  <c r="C48" i="2"/>
  <c r="D48" i="2" l="1"/>
  <c r="C49" i="2"/>
  <c r="D49" i="2" l="1"/>
  <c r="C50" i="2"/>
  <c r="D50" i="2" l="1"/>
  <c r="C51" i="2"/>
  <c r="D51" i="2" l="1"/>
  <c r="C52" i="2"/>
  <c r="D52" i="2" s="1"/>
</calcChain>
</file>

<file path=xl/sharedStrings.xml><?xml version="1.0" encoding="utf-8"?>
<sst xmlns="http://schemas.openxmlformats.org/spreadsheetml/2006/main" count="2486" uniqueCount="293">
  <si>
    <t>Number of Wedges</t>
  </si>
  <si>
    <t>Emissions
in 2050</t>
  </si>
  <si>
    <t>2050 P33 Temperature</t>
  </si>
  <si>
    <t>2050 P50 Temperature</t>
  </si>
  <si>
    <t>2050 P67 Temperature</t>
  </si>
  <si>
    <t>2100 P33 Temperature</t>
  </si>
  <si>
    <t>2100 P50 Temperature</t>
  </si>
  <si>
    <t>2100 P67 Temperature</t>
  </si>
  <si>
    <t>Emissions|CO2|Energy|Supply</t>
  </si>
  <si>
    <t>Industry</t>
  </si>
  <si>
    <t>Emissions|Industry|All</t>
  </si>
  <si>
    <t>NA</t>
  </si>
  <si>
    <t>Transport</t>
  </si>
  <si>
    <t>Emissions|Transport|All</t>
  </si>
  <si>
    <t>Land</t>
  </si>
  <si>
    <t>Emissions|Land|All</t>
  </si>
  <si>
    <t>Buildings</t>
  </si>
  <si>
    <t>Emissions|CO2|Energy|Demand|Residential and Commercial</t>
  </si>
  <si>
    <t>Wind</t>
  </si>
  <si>
    <t>Secondary Energy|Electricity|Wind</t>
  </si>
  <si>
    <t>Solar</t>
  </si>
  <si>
    <t>Secondary Energy|Electricity|Solar</t>
  </si>
  <si>
    <t>Nuclear</t>
  </si>
  <si>
    <t>Secondary Energy|Electricity|Nuclear</t>
  </si>
  <si>
    <t>BECCS</t>
  </si>
  <si>
    <t>Secondary Energy|Electricity|Biomass|w/ CCS</t>
  </si>
  <si>
    <t>Gas CCS</t>
  </si>
  <si>
    <t>Secondary Energy|Electricity|Gas|w/ CCS</t>
  </si>
  <si>
    <t>Coal CCS</t>
  </si>
  <si>
    <t>Secondary Energy|Electricity|Coal|w/ CCS</t>
  </si>
  <si>
    <t>Green H2</t>
  </si>
  <si>
    <t>Secondary Energy|Hydrogen|Electricity</t>
  </si>
  <si>
    <t>Blue H2</t>
  </si>
  <si>
    <t>Secondary Energy|Hydrogen|Fossil|w/ CCS</t>
  </si>
  <si>
    <t>Clean hydrogen</t>
  </si>
  <si>
    <t>Secondary Energy|Hydrogen|Clean</t>
  </si>
  <si>
    <t>Methane reduction</t>
  </si>
  <si>
    <t>Emissions|CH4|Energy|Supply</t>
  </si>
  <si>
    <t>Industry CCS</t>
  </si>
  <si>
    <t>Carbon Sequestration|CCS|Fossil|Energy|Demand|Industry</t>
  </si>
  <si>
    <t>HFC reduction</t>
  </si>
  <si>
    <t>Emissions|HFC</t>
  </si>
  <si>
    <t>Direct air capture</t>
  </si>
  <si>
    <t>Carbon Sequestration|Direct Air Capture</t>
  </si>
  <si>
    <t>Electric vehicles</t>
  </si>
  <si>
    <t>Final Energy|Transportation|Electricity</t>
  </si>
  <si>
    <t>Freight transport</t>
  </si>
  <si>
    <t>Emissions|CO2|Energy|Demand|Transportation|Freight</t>
  </si>
  <si>
    <t>Biofuels</t>
  </si>
  <si>
    <t>Final Energy|Transportation|Liquids|Bioenergy</t>
  </si>
  <si>
    <t>Afforestation</t>
  </si>
  <si>
    <t>Carbon Sequestration|Land Use|Afforestation</t>
  </si>
  <si>
    <t>Diet change</t>
  </si>
  <si>
    <t>Food Demand|Livestock</t>
  </si>
  <si>
    <t>Enhanced weathering</t>
  </si>
  <si>
    <t>Carbon Sequestration|Enhanced Weathering</t>
  </si>
  <si>
    <t>AR6 Variable</t>
  </si>
  <si>
    <t>Sector</t>
  </si>
  <si>
    <t>n</t>
  </si>
  <si>
    <t>Mean</t>
  </si>
  <si>
    <t>SD</t>
  </si>
  <si>
    <t>P25</t>
  </si>
  <si>
    <t>P50</t>
  </si>
  <si>
    <t>P75</t>
  </si>
  <si>
    <t>Strategy</t>
  </si>
  <si>
    <t>Figure</t>
  </si>
  <si>
    <t>4a</t>
  </si>
  <si>
    <t>Electricity</t>
  </si>
  <si>
    <t>All</t>
  </si>
  <si>
    <t>4b</t>
  </si>
  <si>
    <t>4c</t>
  </si>
  <si>
    <t>––</t>
  </si>
  <si>
    <t>4d</t>
  </si>
  <si>
    <t>4e</t>
  </si>
  <si>
    <t>Model Family</t>
  </si>
  <si>
    <t>AIM</t>
  </si>
  <si>
    <t>GCAM</t>
  </si>
  <si>
    <t>GEM-E3</t>
  </si>
  <si>
    <t>IMAGE</t>
  </si>
  <si>
    <t>MESSAGE</t>
  </si>
  <si>
    <t>POLES</t>
  </si>
  <si>
    <t>REMIND</t>
  </si>
  <si>
    <t>TIAM-ECM</t>
  </si>
  <si>
    <t>WITCH</t>
  </si>
  <si>
    <t>Nrml.
SD</t>
  </si>
  <si>
    <t>Nrml.
Mean</t>
  </si>
  <si>
    <t>Nrml.
P25</t>
  </si>
  <si>
    <t>Nrml.
P75</t>
  </si>
  <si>
    <t>Nrml.
P50</t>
  </si>
  <si>
    <t>Supplementary Data for "Democratising climate change mitigation pathways using modernised stabilisation wedges"</t>
  </si>
  <si>
    <t>Nathan Johnson and Iain Staffell</t>
  </si>
  <si>
    <t>This workbook contains the raw data behind Figures 1 to 4 of the main paper</t>
  </si>
  <si>
    <t>Cumulative Emissions (2020–50)</t>
  </si>
  <si>
    <t>Emissions
in 2020</t>
  </si>
  <si>
    <t>Emissions in 2020</t>
  </si>
  <si>
    <t>Emissions in 2050</t>
  </si>
  <si>
    <r>
      <t xml:space="preserve">Fig1: </t>
    </r>
    <r>
      <rPr>
        <sz val="11"/>
        <color theme="1"/>
        <rFont val="Aptos Narrow"/>
        <family val="2"/>
        <scheme val="minor"/>
      </rPr>
      <t>Historical global GHG emissions and a spectrum of stylised future pathways to 2050, showing the relationship between the number of wedges deployed and global temperature outcomes</t>
    </r>
    <r>
      <rPr>
        <b/>
        <sz val="11"/>
        <color theme="1"/>
        <rFont val="Aptos Narrow"/>
        <family val="2"/>
        <scheme val="minor"/>
      </rPr>
      <t>.</t>
    </r>
  </si>
  <si>
    <t>The number of wedges deployed, relative to our No Policy baseline.  The three example pathways in the paper correspond to 0 (No Policy), 17 (Current Policies), and 37 (Decarbonisation).</t>
  </si>
  <si>
    <t>Global net greenhouse gas emissions (GtCO₂e).  Stylised emissions in 2020, calculated as the mean of 2019 and 2021.</t>
  </si>
  <si>
    <t>Global net greenhouse gas emissions (GtCO₂e).  Emissions in 2050.</t>
  </si>
  <si>
    <t>Global net greenhouse gas emissions (GtCO₂e).  Cumulative emissions over the 30 years 2020 to 2050.</t>
  </si>
  <si>
    <t>25 July 2025 –– Version 1</t>
  </si>
  <si>
    <t>License: Creative Commons CC BY 4.0</t>
  </si>
  <si>
    <r>
      <t xml:space="preserve">Citation: </t>
    </r>
    <r>
      <rPr>
        <b/>
        <sz val="11"/>
        <color theme="1"/>
        <rFont val="Aptos Narrow"/>
        <family val="2"/>
        <scheme val="minor"/>
      </rPr>
      <t>ADD DOI ONCE KNOWN</t>
    </r>
  </si>
  <si>
    <t>Global temperature rise (°C).  Calculated from cumulative emissions, aggregating the 33rd percentile of the warming temperature (GSAT) in 2050 from AR6 scenarios using MAGICC.</t>
  </si>
  <si>
    <t>Global temperature rise (°C).  Calculated from cumulative emissions, aggregating the median of the warming temperature (GSAT) in 2050 from AR6 scenarios using MAGICC.</t>
  </si>
  <si>
    <t>Global temperature rise (°C).  Calculated from cumulative emissions, aggregating the 67th percentile of the warming temperature (GSAT) in 2050 from AR6 scenarios using MAGICC.</t>
  </si>
  <si>
    <t>Global temperature rise (°C).  Calculated from cumulative emissions, aggregating the 33rd percentile of the warming temperature (GSAT) in 2100 from AR6 scenarios using MAGICC.</t>
  </si>
  <si>
    <t>Global temperature rise (°C).  Calculated from cumulative emissions, aggregating the median of the warming temperature (GSAT) in 2100 from AR6 scenarios using MAGICC.</t>
  </si>
  <si>
    <t>Global temperature rise (°C).  Calculated from cumulative emissions, aggregating the 67th percentile of the warming temperature (GSAT) in 2100 from AR6 scenarios using MAGICC.</t>
  </si>
  <si>
    <r>
      <rPr>
        <b/>
        <sz val="11"/>
        <color theme="1"/>
        <rFont val="Aptos Narrow"/>
        <family val="2"/>
        <scheme val="minor"/>
      </rPr>
      <t xml:space="preserve">Fig4: </t>
    </r>
    <r>
      <rPr>
        <sz val="11"/>
        <color theme="1"/>
        <rFont val="Aptos Narrow"/>
        <family val="2"/>
        <scheme val="minor"/>
      </rPr>
      <t xml:space="preserve">Translating IAM outputs to wedges shows the aggregate mix of mitigation strategies selected by cost-optimizing models. </t>
    </r>
  </si>
  <si>
    <t>Which figure sub-panel in the main paper the data are visualised in.  –– denotes data which are not shown.</t>
  </si>
  <si>
    <t>This shows results from the whole population of the paired scenarios (as shown in the main paper), and also gives</t>
  </si>
  <si>
    <t>results for each individual model family, to allow readers to compare their different approaches to mitigation.</t>
  </si>
  <si>
    <t>Which sector (as defined in Fig. 2) the result relates to.</t>
  </si>
  <si>
    <t>Which strategy (or sector for Fig. 4a) the result relates to.</t>
  </si>
  <si>
    <r>
      <t>Which variable from the AR6 database is represented.  Note, this can include variables derived by us, which are defined in '</t>
    </r>
    <r>
      <rPr>
        <b/>
        <sz val="11"/>
        <color theme="1"/>
        <rFont val="Aptos Narrow"/>
        <family val="2"/>
        <scheme val="minor"/>
      </rPr>
      <t>insert name to iains r code'</t>
    </r>
  </si>
  <si>
    <t>Which model family the result relates to.  'All' denotes relating to the entire population of paired scenarios.</t>
  </si>
  <si>
    <t>Number of scenario pairs represented in the results</t>
  </si>
  <si>
    <t>Absolute effort (wedges).  Mean difference between the n scenario pairs.</t>
  </si>
  <si>
    <t>Absolute effort (wedges).  Standard deviation of the difference between the n scenario pairs.</t>
  </si>
  <si>
    <t>Absolute effort (wedges).  25th percentile of the difference between the n scenario pairs.</t>
  </si>
  <si>
    <t>Absolute effort (wedges).  Median difference between the n scenario pairs.</t>
  </si>
  <si>
    <t>Absolute effort (wedges).  75th percentile of the difference between the n scenario pairs.</t>
  </si>
  <si>
    <t>Normalised effort for a 40 GtCO₂e overall change in GHG emissions (wedges).  Mean difference between the n scenario pairs.</t>
  </si>
  <si>
    <t>Normalised effort for a 40 GtCO₂e overall change in GHG emissions (wedges).  Standard deviation of the difference between the n scenario pairs.</t>
  </si>
  <si>
    <t>Normalised effort for a 40 GtCO₂e overall change in GHG emissions (wedges).  25th percentile of the difference between the n scenario pairs.</t>
  </si>
  <si>
    <t>Normalised effort for a 40 GtCO₂e overall change in GHG emissions (wedges).  Median difference between the n scenario pairs.</t>
  </si>
  <si>
    <t>Normalised effort for a 40 GtCO₂e overall change in GHG emissions (wedges).  75th percentile of the difference between the n scenario pairs.</t>
  </si>
  <si>
    <t>Historical value for coal-to-gas fuel-switching is global gas generation</t>
  </si>
  <si>
    <t>*</t>
  </si>
  <si>
    <t>Notes</t>
  </si>
  <si>
    <t>H. Joosten, “The Global Peatland CO2 Picture” (2010).</t>
  </si>
  <si>
    <t>J. Leifeld, L. Menichetti, "The underappreciated potential of peatlands in global climate change mitigation strategies" (2018).</t>
  </si>
  <si>
    <t>A. Kassam et al., "Global spread of Conservation Agriculture" (2019).</t>
  </si>
  <si>
    <t xml:space="preserve">Global Forest Watch, “Global Tree Cover Data Dashboard” (2023). </t>
  </si>
  <si>
    <t>IEA, “Renewables” (2023), with litres of ethanol in 2022 adjusted assuming 5.86 kWh/litre, 0.664 kWh/km and occupancy of 1.65.</t>
  </si>
  <si>
    <t>IEA, "Global EV Outook 2025", with vehicle stock of 40 million in 2023 adjusted by 14,825km/vehicle/year and occupancy of 1.65.</t>
  </si>
  <si>
    <t>Johnson et al., "Realistic roles for hydrogen in the future energy transition" (2025).</t>
  </si>
  <si>
    <t>From "Food loss and waste.xlsx", values for 2018 and 2050</t>
  </si>
  <si>
    <t>From "Dietary change.xlsx", values for 2018 and 2050</t>
  </si>
  <si>
    <t>G. Dreyfus et al., “Assessment of Climate and Development Benefits of Efficient and Climate-Friendly Cooling” (2020).</t>
  </si>
  <si>
    <t>Author's analysis of ESA CCI and NASA MODIS datasets. See Materials and Methods for more details.</t>
  </si>
  <si>
    <t>ESMAP, “The State of Access to Modern Energy Cooking Services” (2020).</t>
  </si>
  <si>
    <t>Average of Global Calculator reference scenarios for 2020</t>
  </si>
  <si>
    <t xml:space="preserve">IEA, “Global Hydrogen Review 2024” (2025). </t>
  </si>
  <si>
    <t>Ember, "Yearly Electricity Data" (2025).</t>
  </si>
  <si>
    <t>Sources</t>
  </si>
  <si>
    <t>Global GHG emissions from freight</t>
  </si>
  <si>
    <t>2020-2050</t>
  </si>
  <si>
    <t>Global cumulative methane emissions from oil and gas</t>
  </si>
  <si>
    <t>Gt</t>
  </si>
  <si>
    <t>Global demand for cement from all sources</t>
  </si>
  <si>
    <t>Global demand for steel from all sources</t>
  </si>
  <si>
    <t>TWh</t>
  </si>
  <si>
    <t>Global useful energy for space and water heating</t>
  </si>
  <si>
    <t>Trillion p-km</t>
  </si>
  <si>
    <t>Global passenger-km travelled by air</t>
  </si>
  <si>
    <t>Global passenger-km travelled by land (domestic only)</t>
  </si>
  <si>
    <t>Global electricity generation</t>
  </si>
  <si>
    <t>RCP6</t>
  </si>
  <si>
    <t>RCP8</t>
  </si>
  <si>
    <t>IEA4</t>
  </si>
  <si>
    <t>IEA6</t>
  </si>
  <si>
    <t>Unit</t>
  </si>
  <si>
    <t>Year</t>
  </si>
  <si>
    <t>Variable</t>
  </si>
  <si>
    <t>Values</t>
  </si>
  <si>
    <t>Contextual elements to calculate 2050 shares from baseline scenarios</t>
  </si>
  <si>
    <t>Mt</t>
  </si>
  <si>
    <t>Global hydrogen demand (high)</t>
  </si>
  <si>
    <t>Global hydrogen demand (low)</t>
  </si>
  <si>
    <t>Global food loss and waste</t>
  </si>
  <si>
    <t>kcal/cap/day</t>
  </si>
  <si>
    <t>Calories from meat in medium/high meat-eating regions</t>
  </si>
  <si>
    <t>Mha</t>
  </si>
  <si>
    <t>Global cropland area</t>
  </si>
  <si>
    <t>Temperate forest area</t>
  </si>
  <si>
    <t>Tropical forest area</t>
  </si>
  <si>
    <t>Temperate pasture area</t>
  </si>
  <si>
    <t>Tropical pasture area</t>
  </si>
  <si>
    <t>Temperate cropland area</t>
  </si>
  <si>
    <t>Tropical cropland area</t>
  </si>
  <si>
    <t>Global cumulative HFC emissions</t>
  </si>
  <si>
    <t>Source</t>
  </si>
  <si>
    <t>Value</t>
  </si>
  <si>
    <t>Contextual elements to calculate 2050 shares (scenario independent)</t>
  </si>
  <si>
    <t>1991-2020</t>
  </si>
  <si>
    <t xml:space="preserve">Global cement production </t>
  </si>
  <si>
    <t>Global steel production</t>
  </si>
  <si>
    <t>Million</t>
  </si>
  <si>
    <t>Global households reliant on cookstoves</t>
  </si>
  <si>
    <t>Global hydrogen demand</t>
  </si>
  <si>
    <t>Contextual elements to calculate present day shares</t>
  </si>
  <si>
    <t>Prevent food loss and waste</t>
  </si>
  <si>
    <t>Food</t>
  </si>
  <si>
    <t>kcal/capita/day</t>
  </si>
  <si>
    <t>Reduce meat consumption</t>
  </si>
  <si>
    <t>Mha/year</t>
  </si>
  <si>
    <t>...and phase-out drainage</t>
  </si>
  <si>
    <t>Land use</t>
  </si>
  <si>
    <t>Rewet drained peatlands</t>
  </si>
  <si>
    <t>Prevent tropical forest loss</t>
  </si>
  <si>
    <t>Manage soil carbon</t>
  </si>
  <si>
    <t>Add trees to temperate cropland</t>
  </si>
  <si>
    <t>Negligible</t>
  </si>
  <si>
    <t>Enhance weathering in cropland</t>
  </si>
  <si>
    <t>Add trees to tropical cropland</t>
  </si>
  <si>
    <t>Add trees to temperate pasture</t>
  </si>
  <si>
    <t xml:space="preserve">Add trees to tropical pasture </t>
  </si>
  <si>
    <t>Reforest the temperate zone</t>
  </si>
  <si>
    <t>Reforest the tropics</t>
  </si>
  <si>
    <t>Reduce refrigerant pollution</t>
  </si>
  <si>
    <t>Reduce methane from oil and gas</t>
  </si>
  <si>
    <t>Gt (output)</t>
  </si>
  <si>
    <t>Decarbonise cement production</t>
  </si>
  <si>
    <t>… with CCS</t>
  </si>
  <si>
    <t>… with hydrogen-DRI</t>
  </si>
  <si>
    <t>Decarbonise steelmaking</t>
  </si>
  <si>
    <t>… high demand for hydrogen</t>
  </si>
  <si>
    <t>… low demand for hydrogen</t>
  </si>
  <si>
    <t>Produce clean hydrogen</t>
  </si>
  <si>
    <t>TWh (input)</t>
  </si>
  <si>
    <t>Deploy direct air capture</t>
  </si>
  <si>
    <t>Millions</t>
  </si>
  <si>
    <t>Deploy more clean stoves</t>
  </si>
  <si>
    <t>TWh (heat output)</t>
  </si>
  <si>
    <t>Install more heat pumps</t>
  </si>
  <si>
    <t>Reduce building heat transfer</t>
  </si>
  <si>
    <t>l/100km</t>
  </si>
  <si>
    <t>Improve efficiency of cars</t>
  </si>
  <si>
    <t>Avoid taking flights</t>
  </si>
  <si>
    <t>Decarbonise surface freight</t>
  </si>
  <si>
    <t>Use more public transport</t>
  </si>
  <si>
    <t>Deploy more biofuels</t>
  </si>
  <si>
    <t>Deploy more electric vehicles</t>
  </si>
  <si>
    <t>Avoid car travel or walk/cycle</t>
  </si>
  <si>
    <t>TWh (output)</t>
  </si>
  <si>
    <t>Retrofit gas plants with CCS</t>
  </si>
  <si>
    <t>Power</t>
  </si>
  <si>
    <t>TWh (output)*</t>
  </si>
  <si>
    <t>Switch from coal to gas plants</t>
  </si>
  <si>
    <t>Install more nuclear reactors</t>
  </si>
  <si>
    <t>Install more solar panels</t>
  </si>
  <si>
    <t>Install more wind farms</t>
  </si>
  <si>
    <t>Retrofit coal plants with CCS</t>
  </si>
  <si>
    <t>Power BECCS with waste</t>
  </si>
  <si>
    <t>Power BECCS with crops</t>
  </si>
  <si>
    <t>Scenario independent: Wedge target (low)</t>
  </si>
  <si>
    <t>Scenario independent: Wedge target (high)</t>
  </si>
  <si>
    <t>Scenario independent: Wedge target (central)</t>
  </si>
  <si>
    <t>Scenario analysis: Wedge share (RCP6.0)</t>
  </si>
  <si>
    <t>Scenario analysis: Wedge share (RCP8.5)</t>
  </si>
  <si>
    <t>Scenario analysis: Wedge share (IEA4DS)</t>
  </si>
  <si>
    <t>Scenario analysis: Wedge share (IEA6DS)</t>
  </si>
  <si>
    <t>Scenario analysis: Wedge target (RCP6.0)</t>
  </si>
  <si>
    <t>Scenario analysis: Wedge target (RCP8.5)</t>
  </si>
  <si>
    <t>Scenario analysis: Wedge target (IEA4DS)</t>
  </si>
  <si>
    <t>Scenario analysis: Wedge target (IEA6DS)</t>
  </si>
  <si>
    <t>Wedge share (low)</t>
  </si>
  <si>
    <t>Wedge share (high)</t>
  </si>
  <si>
    <t>Wedge share</t>
  </si>
  <si>
    <t>Wedge target (low)</t>
  </si>
  <si>
    <t>Wedge target (high)</t>
  </si>
  <si>
    <t>Wedge target</t>
  </si>
  <si>
    <t>Current share</t>
  </si>
  <si>
    <t>Current value</t>
  </si>
  <si>
    <r>
      <rPr>
        <b/>
        <sz val="11"/>
        <color theme="1"/>
        <rFont val="Aptos Narrow"/>
        <family val="2"/>
        <scheme val="minor"/>
      </rPr>
      <t xml:space="preserve">Fig2Fig3: </t>
    </r>
    <r>
      <rPr>
        <sz val="11"/>
        <color theme="1"/>
        <rFont val="Aptos Narrow"/>
        <family val="2"/>
        <scheme val="minor"/>
      </rPr>
      <t>The 36 mitigation strategies which have the potential to achieve at least one wedge of mitigation, and the scale of deployment required for each</t>
    </r>
  </si>
  <si>
    <t>Which sector the result relates to.</t>
  </si>
  <si>
    <t>Which strategy the result relates to.</t>
  </si>
  <si>
    <t>Status of this strategy at present, relative to the global market.</t>
  </si>
  <si>
    <t>The unit for evaluating effort required for a wedge (wedge target columns) and current uptake (current value column).</t>
  </si>
  <si>
    <t>Upper estimate for the additional effort required to achieve a wedge.</t>
  </si>
  <si>
    <t>Lower estimate for the additional effort required to achieve a wedge.</t>
  </si>
  <si>
    <t>For strategies evaluated using the Global Calculator, the effort required to achieve a wedge within the IEA6DS scenario.</t>
  </si>
  <si>
    <t>For strategies evaluated using the Global Calculator, the effort required to achieve a wedge within the IEA4DS scenario.</t>
  </si>
  <si>
    <t>For strategies evaluated using the Global Calculator, the effort required to achieve a wedge within the RCP8.5 scenario.</t>
  </si>
  <si>
    <t>For strategies evaluated using the Global Calculator, the effort required to achieve a wedge within the RCP6.0 scenario.</t>
  </si>
  <si>
    <t>For strategies evaluated using the Global Calculator, the global share of activity required to achieve a wedge within the IEA6DS scenario.</t>
  </si>
  <si>
    <t>Upper estimate for the global share of activity required to achieve a wedge.</t>
  </si>
  <si>
    <t>Lower estimate for the global share of activity required to achieve a wedge.</t>
  </si>
  <si>
    <t>Source used for current value (see Fig2Fig3Context for definitions).</t>
  </si>
  <si>
    <r>
      <t xml:space="preserve">Status of this strategy at present (the yellow circles in </t>
    </r>
    <r>
      <rPr>
        <b/>
        <sz val="11"/>
        <color theme="1"/>
        <rFont val="Aptos Narrow"/>
        <family val="2"/>
        <scheme val="minor"/>
      </rPr>
      <t>Fig. 3</t>
    </r>
    <r>
      <rPr>
        <sz val="11"/>
        <color theme="1"/>
        <rFont val="Aptos Narrow"/>
        <family val="2"/>
        <scheme val="minor"/>
      </rPr>
      <t>).  This represents various years depending on data availability, typically 2020 to 2024.</t>
    </r>
  </si>
  <si>
    <r>
      <t xml:space="preserve">Central estimate for the additional effort required to achieve a wedge (the bars in </t>
    </r>
    <r>
      <rPr>
        <b/>
        <sz val="11"/>
        <color theme="1"/>
        <rFont val="Aptos Narrow"/>
        <family val="2"/>
        <scheme val="minor"/>
      </rPr>
      <t>Fig. 3</t>
    </r>
    <r>
      <rPr>
        <sz val="11"/>
        <color theme="1"/>
        <rFont val="Aptos Narrow"/>
        <family val="2"/>
        <scheme val="minor"/>
      </rPr>
      <t>).</t>
    </r>
  </si>
  <si>
    <r>
      <t xml:space="preserve">Central estimate for the global share of activity required to achieve a wedge (as stated in </t>
    </r>
    <r>
      <rPr>
        <b/>
        <sz val="11"/>
        <color theme="1"/>
        <rFont val="Aptos Narrow"/>
        <family val="2"/>
        <scheme val="minor"/>
      </rPr>
      <t>Fig. 2</t>
    </r>
    <r>
      <rPr>
        <sz val="11"/>
        <color theme="1"/>
        <rFont val="Aptos Narrow"/>
        <family val="2"/>
        <scheme val="minor"/>
      </rPr>
      <t>).</t>
    </r>
  </si>
  <si>
    <t>For strategies that are scenario indepdenent, the central estimate of effort required to achieve a wedge.</t>
  </si>
  <si>
    <t>For strategies that are scenario indepdenent, the upper estimate of effort required to achieve a wedge.</t>
  </si>
  <si>
    <t>For strategies that are scenario indepdenent, the lower estimate of effort required to achieve a wedge.</t>
  </si>
  <si>
    <r>
      <t xml:space="preserve">Fig2Fig3Context: </t>
    </r>
    <r>
      <rPr>
        <sz val="11"/>
        <color theme="1"/>
        <rFont val="Aptos Narrow"/>
        <family val="2"/>
        <scheme val="minor"/>
      </rPr>
      <t>Additional data tables and sources underpinning the values in the Fig2Fig3 sheet.</t>
    </r>
  </si>
  <si>
    <t>These are given seperately so that the Fig2Fig3 sheet can remain as machine-readable rectangular data.</t>
  </si>
  <si>
    <r>
      <t>GtCO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e</t>
    </r>
  </si>
  <si>
    <r>
      <t>W/m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*K</t>
    </r>
  </si>
  <si>
    <r>
      <t>GtCO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e (cum.)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</si>
</sst>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0" xfId="0" quotePrefix="1"/>
    <xf numFmtId="0" fontId="5" fillId="0" borderId="0" xfId="0" applyFont="1"/>
    <xf numFmtId="0" fontId="0" fillId="0" borderId="0" xfId="0" applyFont="1"/>
    <xf numFmtId="0" fontId="1" fillId="0" borderId="9" xfId="0" applyFont="1" applyBorder="1"/>
    <xf numFmtId="0" fontId="1" fillId="0" borderId="8" xfId="0" applyFont="1" applyBorder="1"/>
    <xf numFmtId="0" fontId="1" fillId="0" borderId="7" xfId="0" applyFont="1" applyBorder="1"/>
    <xf numFmtId="0" fontId="0" fillId="0" borderId="6" xfId="0" applyFont="1" applyBorder="1"/>
    <xf numFmtId="1" fontId="0" fillId="0" borderId="0" xfId="0" applyNumberFormat="1" applyFont="1"/>
    <xf numFmtId="1" fontId="0" fillId="0" borderId="5" xfId="0" applyNumberFormat="1" applyFont="1" applyBorder="1"/>
    <xf numFmtId="165" fontId="0" fillId="0" borderId="0" xfId="0" applyNumberFormat="1" applyFont="1"/>
    <xf numFmtId="0" fontId="0" fillId="0" borderId="5" xfId="0" applyFont="1" applyBorder="1"/>
    <xf numFmtId="0" fontId="0" fillId="0" borderId="0" xfId="0" applyFont="1" applyAlignment="1">
      <alignment horizontal="right"/>
    </xf>
    <xf numFmtId="0" fontId="0" fillId="0" borderId="4" xfId="0" applyFont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1" fontId="0" fillId="0" borderId="3" xfId="0" applyNumberFormat="1" applyFont="1" applyBorder="1"/>
    <xf numFmtId="0" fontId="0" fillId="0" borderId="2" xfId="0" applyFont="1" applyBorder="1"/>
    <xf numFmtId="1" fontId="1" fillId="0" borderId="8" xfId="0" applyNumberFormat="1" applyFont="1" applyBorder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" fontId="0" fillId="0" borderId="0" xfId="0" applyNumberFormat="1" applyFont="1" applyAlignment="1">
      <alignment horizontal="right"/>
    </xf>
    <xf numFmtId="1" fontId="0" fillId="0" borderId="5" xfId="0" applyNumberFormat="1" applyFont="1" applyBorder="1" applyAlignment="1">
      <alignment horizontal="right"/>
    </xf>
    <xf numFmtId="165" fontId="0" fillId="0" borderId="5" xfId="0" applyNumberFormat="1" applyFont="1" applyBorder="1"/>
    <xf numFmtId="165" fontId="0" fillId="0" borderId="0" xfId="0" applyNumberFormat="1" applyFont="1" applyAlignment="1">
      <alignment horizontal="right"/>
    </xf>
    <xf numFmtId="165" fontId="0" fillId="0" borderId="5" xfId="0" applyNumberFormat="1" applyFont="1" applyBorder="1" applyAlignment="1">
      <alignment horizontal="right"/>
    </xf>
    <xf numFmtId="165" fontId="0" fillId="0" borderId="3" xfId="0" applyNumberFormat="1" applyFont="1" applyBorder="1"/>
    <xf numFmtId="165" fontId="0" fillId="0" borderId="2" xfId="0" applyNumberFormat="1" applyFont="1" applyBorder="1"/>
    <xf numFmtId="0" fontId="0" fillId="0" borderId="0" xfId="0" applyFont="1" applyAlignment="1">
      <alignment horizontal="center"/>
    </xf>
    <xf numFmtId="9" fontId="0" fillId="0" borderId="0" xfId="1" applyFont="1" applyFill="1" applyBorder="1" applyAlignment="1">
      <alignment horizontal="center"/>
    </xf>
    <xf numFmtId="1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 indent="1"/>
    </xf>
    <xf numFmtId="11" fontId="0" fillId="0" borderId="0" xfId="0" applyNumberFormat="1" applyFont="1"/>
    <xf numFmtId="2" fontId="0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96C4-3534-40E9-A7A7-72F699F931FB}">
  <dimension ref="B1:N80"/>
  <sheetViews>
    <sheetView tabSelected="1" workbookViewId="0"/>
  </sheetViews>
  <sheetFormatPr defaultColWidth="4.28515625" defaultRowHeight="15" x14ac:dyDescent="0.25"/>
  <sheetData>
    <row r="1" spans="2:10" s="1" customFormat="1" x14ac:dyDescent="0.25"/>
    <row r="2" spans="2:10" x14ac:dyDescent="0.25">
      <c r="B2" s="7" t="s">
        <v>89</v>
      </c>
    </row>
    <row r="4" spans="2:10" x14ac:dyDescent="0.25">
      <c r="C4" t="s">
        <v>90</v>
      </c>
    </row>
    <row r="5" spans="2:10" x14ac:dyDescent="0.25">
      <c r="C5" s="15" t="s">
        <v>101</v>
      </c>
    </row>
    <row r="6" spans="2:10" x14ac:dyDescent="0.25">
      <c r="C6" t="s">
        <v>103</v>
      </c>
    </row>
    <row r="7" spans="2:10" x14ac:dyDescent="0.25">
      <c r="C7" s="15" t="s">
        <v>102</v>
      </c>
    </row>
    <row r="9" spans="2:10" x14ac:dyDescent="0.25">
      <c r="C9" t="s">
        <v>91</v>
      </c>
    </row>
    <row r="13" spans="2:10" x14ac:dyDescent="0.25">
      <c r="B13" s="7" t="s">
        <v>96</v>
      </c>
    </row>
    <row r="15" spans="2:10" x14ac:dyDescent="0.25">
      <c r="C15" s="7" t="s">
        <v>0</v>
      </c>
      <c r="J15" t="s">
        <v>97</v>
      </c>
    </row>
    <row r="16" spans="2:10" x14ac:dyDescent="0.25">
      <c r="C16" s="7" t="s">
        <v>94</v>
      </c>
      <c r="J16" t="s">
        <v>98</v>
      </c>
    </row>
    <row r="17" spans="2:10" x14ac:dyDescent="0.25">
      <c r="C17" s="7" t="s">
        <v>95</v>
      </c>
      <c r="J17" t="s">
        <v>99</v>
      </c>
    </row>
    <row r="18" spans="2:10" x14ac:dyDescent="0.25">
      <c r="C18" s="7" t="s">
        <v>92</v>
      </c>
      <c r="J18" t="s">
        <v>100</v>
      </c>
    </row>
    <row r="19" spans="2:10" x14ac:dyDescent="0.25">
      <c r="C19" s="7" t="s">
        <v>2</v>
      </c>
      <c r="J19" t="s">
        <v>104</v>
      </c>
    </row>
    <row r="20" spans="2:10" x14ac:dyDescent="0.25">
      <c r="C20" s="7" t="s">
        <v>3</v>
      </c>
      <c r="J20" t="s">
        <v>105</v>
      </c>
    </row>
    <row r="21" spans="2:10" x14ac:dyDescent="0.25">
      <c r="C21" s="7" t="s">
        <v>4</v>
      </c>
      <c r="J21" t="s">
        <v>106</v>
      </c>
    </row>
    <row r="22" spans="2:10" x14ac:dyDescent="0.25">
      <c r="C22" s="7" t="s">
        <v>5</v>
      </c>
      <c r="J22" t="s">
        <v>107</v>
      </c>
    </row>
    <row r="23" spans="2:10" x14ac:dyDescent="0.25">
      <c r="C23" s="7" t="s">
        <v>6</v>
      </c>
      <c r="J23" t="s">
        <v>108</v>
      </c>
    </row>
    <row r="24" spans="2:10" x14ac:dyDescent="0.25">
      <c r="C24" s="7" t="s">
        <v>7</v>
      </c>
      <c r="J24" t="s">
        <v>109</v>
      </c>
    </row>
    <row r="28" spans="2:10" x14ac:dyDescent="0.25">
      <c r="B28" t="s">
        <v>267</v>
      </c>
    </row>
    <row r="30" spans="2:10" x14ac:dyDescent="0.25">
      <c r="C30" s="7" t="s">
        <v>57</v>
      </c>
      <c r="J30" t="s">
        <v>268</v>
      </c>
    </row>
    <row r="31" spans="2:10" x14ac:dyDescent="0.25">
      <c r="C31" s="7" t="s">
        <v>64</v>
      </c>
      <c r="J31" t="s">
        <v>269</v>
      </c>
    </row>
    <row r="32" spans="2:10" x14ac:dyDescent="0.25">
      <c r="C32" s="7" t="s">
        <v>164</v>
      </c>
      <c r="J32" t="s">
        <v>271</v>
      </c>
    </row>
    <row r="33" spans="3:14" x14ac:dyDescent="0.25">
      <c r="C33" s="7" t="s">
        <v>266</v>
      </c>
      <c r="J33" t="s">
        <v>282</v>
      </c>
    </row>
    <row r="34" spans="3:14" x14ac:dyDescent="0.25">
      <c r="C34" s="7" t="s">
        <v>265</v>
      </c>
      <c r="J34" t="s">
        <v>270</v>
      </c>
    </row>
    <row r="35" spans="3:14" x14ac:dyDescent="0.25">
      <c r="C35" s="7" t="s">
        <v>184</v>
      </c>
      <c r="J35" t="s">
        <v>281</v>
      </c>
    </row>
    <row r="36" spans="3:14" x14ac:dyDescent="0.25">
      <c r="C36" s="7" t="s">
        <v>264</v>
      </c>
      <c r="J36" t="s">
        <v>283</v>
      </c>
    </row>
    <row r="37" spans="3:14" x14ac:dyDescent="0.25">
      <c r="C37" s="7" t="s">
        <v>263</v>
      </c>
      <c r="J37" t="s">
        <v>272</v>
      </c>
    </row>
    <row r="38" spans="3:14" x14ac:dyDescent="0.25">
      <c r="C38" s="7" t="s">
        <v>262</v>
      </c>
      <c r="J38" t="s">
        <v>273</v>
      </c>
    </row>
    <row r="39" spans="3:14" x14ac:dyDescent="0.25">
      <c r="C39" s="7" t="s">
        <v>261</v>
      </c>
      <c r="J39" t="s">
        <v>284</v>
      </c>
    </row>
    <row r="40" spans="3:14" x14ac:dyDescent="0.25">
      <c r="C40" s="7" t="s">
        <v>260</v>
      </c>
      <c r="J40" t="s">
        <v>279</v>
      </c>
    </row>
    <row r="41" spans="3:14" x14ac:dyDescent="0.25">
      <c r="C41" s="7" t="s">
        <v>259</v>
      </c>
      <c r="J41" t="s">
        <v>280</v>
      </c>
    </row>
    <row r="42" spans="3:14" x14ac:dyDescent="0.25">
      <c r="C42" s="7" t="s">
        <v>258</v>
      </c>
      <c r="N42" t="s">
        <v>274</v>
      </c>
    </row>
    <row r="43" spans="3:14" x14ac:dyDescent="0.25">
      <c r="C43" s="7" t="s">
        <v>257</v>
      </c>
      <c r="N43" t="s">
        <v>275</v>
      </c>
    </row>
    <row r="44" spans="3:14" x14ac:dyDescent="0.25">
      <c r="C44" s="7" t="s">
        <v>256</v>
      </c>
      <c r="N44" t="s">
        <v>276</v>
      </c>
    </row>
    <row r="45" spans="3:14" x14ac:dyDescent="0.25">
      <c r="C45" s="7" t="s">
        <v>255</v>
      </c>
      <c r="N45" t="s">
        <v>277</v>
      </c>
    </row>
    <row r="46" spans="3:14" x14ac:dyDescent="0.25">
      <c r="C46" s="7" t="s">
        <v>254</v>
      </c>
      <c r="N46" t="s">
        <v>278</v>
      </c>
    </row>
    <row r="47" spans="3:14" x14ac:dyDescent="0.25">
      <c r="C47" s="7" t="s">
        <v>253</v>
      </c>
      <c r="N47" t="s">
        <v>275</v>
      </c>
    </row>
    <row r="48" spans="3:14" x14ac:dyDescent="0.25">
      <c r="C48" s="7" t="s">
        <v>252</v>
      </c>
      <c r="N48" t="s">
        <v>276</v>
      </c>
    </row>
    <row r="49" spans="2:14" x14ac:dyDescent="0.25">
      <c r="C49" s="7" t="s">
        <v>251</v>
      </c>
      <c r="N49" t="s">
        <v>277</v>
      </c>
    </row>
    <row r="50" spans="2:14" x14ac:dyDescent="0.25">
      <c r="C50" s="7" t="s">
        <v>250</v>
      </c>
      <c r="N50" t="s">
        <v>285</v>
      </c>
    </row>
    <row r="51" spans="2:14" x14ac:dyDescent="0.25">
      <c r="C51" s="7" t="s">
        <v>249</v>
      </c>
      <c r="N51" t="s">
        <v>286</v>
      </c>
    </row>
    <row r="52" spans="2:14" x14ac:dyDescent="0.25">
      <c r="C52" s="7" t="s">
        <v>248</v>
      </c>
      <c r="N52" t="s">
        <v>287</v>
      </c>
    </row>
    <row r="56" spans="2:14" x14ac:dyDescent="0.25">
      <c r="B56" s="7" t="s">
        <v>288</v>
      </c>
    </row>
    <row r="57" spans="2:14" x14ac:dyDescent="0.25">
      <c r="C57" t="s">
        <v>289</v>
      </c>
    </row>
    <row r="61" spans="2:14" x14ac:dyDescent="0.25">
      <c r="B61" t="s">
        <v>110</v>
      </c>
    </row>
    <row r="62" spans="2:14" x14ac:dyDescent="0.25">
      <c r="C62" t="s">
        <v>112</v>
      </c>
    </row>
    <row r="63" spans="2:14" x14ac:dyDescent="0.25">
      <c r="C63" t="s">
        <v>113</v>
      </c>
    </row>
    <row r="65" spans="3:10" x14ac:dyDescent="0.25">
      <c r="C65" s="7" t="s">
        <v>65</v>
      </c>
      <c r="J65" t="s">
        <v>111</v>
      </c>
    </row>
    <row r="66" spans="3:10" x14ac:dyDescent="0.25">
      <c r="C66" s="7" t="s">
        <v>57</v>
      </c>
      <c r="J66" t="s">
        <v>114</v>
      </c>
    </row>
    <row r="67" spans="3:10" x14ac:dyDescent="0.25">
      <c r="C67" s="7" t="s">
        <v>64</v>
      </c>
      <c r="J67" t="s">
        <v>115</v>
      </c>
    </row>
    <row r="68" spans="3:10" x14ac:dyDescent="0.25">
      <c r="C68" s="7" t="s">
        <v>56</v>
      </c>
      <c r="J68" t="s">
        <v>116</v>
      </c>
    </row>
    <row r="69" spans="3:10" x14ac:dyDescent="0.25">
      <c r="C69" s="7" t="s">
        <v>74</v>
      </c>
      <c r="J69" t="s">
        <v>117</v>
      </c>
    </row>
    <row r="70" spans="3:10" x14ac:dyDescent="0.25">
      <c r="C70" s="7" t="s">
        <v>58</v>
      </c>
      <c r="J70" t="s">
        <v>118</v>
      </c>
    </row>
    <row r="71" spans="3:10" x14ac:dyDescent="0.25">
      <c r="C71" s="7" t="s">
        <v>59</v>
      </c>
      <c r="J71" t="s">
        <v>119</v>
      </c>
    </row>
    <row r="72" spans="3:10" x14ac:dyDescent="0.25">
      <c r="C72" s="7" t="s">
        <v>60</v>
      </c>
      <c r="J72" t="s">
        <v>120</v>
      </c>
    </row>
    <row r="73" spans="3:10" x14ac:dyDescent="0.25">
      <c r="C73" s="7" t="s">
        <v>61</v>
      </c>
      <c r="J73" t="s">
        <v>121</v>
      </c>
    </row>
    <row r="74" spans="3:10" x14ac:dyDescent="0.25">
      <c r="C74" s="7" t="s">
        <v>62</v>
      </c>
      <c r="J74" t="s">
        <v>122</v>
      </c>
    </row>
    <row r="75" spans="3:10" x14ac:dyDescent="0.25">
      <c r="C75" s="7" t="s">
        <v>63</v>
      </c>
      <c r="J75" t="s">
        <v>123</v>
      </c>
    </row>
    <row r="76" spans="3:10" x14ac:dyDescent="0.25">
      <c r="C76" s="7" t="s">
        <v>85</v>
      </c>
      <c r="J76" t="s">
        <v>124</v>
      </c>
    </row>
    <row r="77" spans="3:10" x14ac:dyDescent="0.25">
      <c r="C77" s="7" t="s">
        <v>84</v>
      </c>
      <c r="J77" t="s">
        <v>125</v>
      </c>
    </row>
    <row r="78" spans="3:10" x14ac:dyDescent="0.25">
      <c r="C78" s="7" t="s">
        <v>86</v>
      </c>
      <c r="J78" t="s">
        <v>126</v>
      </c>
    </row>
    <row r="79" spans="3:10" x14ac:dyDescent="0.25">
      <c r="C79" s="7" t="s">
        <v>88</v>
      </c>
      <c r="J79" t="s">
        <v>127</v>
      </c>
    </row>
    <row r="80" spans="3:10" x14ac:dyDescent="0.25">
      <c r="C80" s="7" t="s">
        <v>87</v>
      </c>
      <c r="J8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7AAD-373C-40D4-962B-69BDBB12ACBE}">
  <dimension ref="A1:J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1.42578125" customWidth="1"/>
  </cols>
  <sheetData>
    <row r="1" spans="1:10" ht="45" x14ac:dyDescent="0.25">
      <c r="A1" s="6" t="s">
        <v>0</v>
      </c>
      <c r="B1" s="6" t="s">
        <v>93</v>
      </c>
      <c r="C1" s="6" t="s">
        <v>1</v>
      </c>
      <c r="D1" s="6" t="s">
        <v>92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0" x14ac:dyDescent="0.25">
      <c r="A2" s="3">
        <v>0</v>
      </c>
      <c r="B2" s="4">
        <v>54.707257999999996</v>
      </c>
      <c r="C2" s="4">
        <v>83.784364813485467</v>
      </c>
      <c r="D2" s="4">
        <f t="shared" ref="D2:D33" si="0">B2 + AVERAGE(B2:C2) * 30</f>
        <v>2132.0816002022821</v>
      </c>
      <c r="E2" s="5">
        <v>2.0001288277099998</v>
      </c>
      <c r="F2" s="5">
        <v>2.1360277919164701</v>
      </c>
      <c r="G2" s="5">
        <v>2.2856898022695402</v>
      </c>
      <c r="H2" s="5">
        <v>3.4245581861149401</v>
      </c>
      <c r="I2" s="5">
        <v>3.7258512214652399</v>
      </c>
      <c r="J2" s="5">
        <v>4.0514633964181401</v>
      </c>
    </row>
    <row r="3" spans="1:10" x14ac:dyDescent="0.25">
      <c r="A3" s="3">
        <v>1</v>
      </c>
      <c r="B3" s="4">
        <v>54.707257999999996</v>
      </c>
      <c r="C3" s="4">
        <f t="shared" ref="C3:C34" si="1">C2 - 2</f>
        <v>81.784364813485467</v>
      </c>
      <c r="D3" s="4">
        <f t="shared" si="0"/>
        <v>2102.0816002022821</v>
      </c>
      <c r="E3" s="5">
        <v>1.9844269739277201</v>
      </c>
      <c r="F3" s="5">
        <v>2.1196493123067102</v>
      </c>
      <c r="G3" s="5">
        <v>2.2672290176588801</v>
      </c>
      <c r="H3" s="5">
        <v>3.37854800276064</v>
      </c>
      <c r="I3" s="5">
        <v>3.6751906293839598</v>
      </c>
      <c r="J3" s="5">
        <v>3.9951026720705598</v>
      </c>
    </row>
    <row r="4" spans="1:10" x14ac:dyDescent="0.25">
      <c r="A4" s="3">
        <v>2</v>
      </c>
      <c r="B4" s="4">
        <v>54.707257999999996</v>
      </c>
      <c r="C4" s="4">
        <f t="shared" si="1"/>
        <v>79.784364813485467</v>
      </c>
      <c r="D4" s="4">
        <f t="shared" si="0"/>
        <v>2072.0816002022821</v>
      </c>
      <c r="E4" s="5">
        <v>1.96942086033566</v>
      </c>
      <c r="F4" s="5">
        <v>2.1039460040109401</v>
      </c>
      <c r="G4" s="5">
        <v>2.24969773179299</v>
      </c>
      <c r="H4" s="5">
        <v>3.32990900654175</v>
      </c>
      <c r="I4" s="5">
        <v>3.6219308647048298</v>
      </c>
      <c r="J4" s="5">
        <v>3.9361526892694498</v>
      </c>
    </row>
    <row r="5" spans="1:10" x14ac:dyDescent="0.25">
      <c r="A5" s="3">
        <v>3</v>
      </c>
      <c r="B5" s="4">
        <v>54.707257999999996</v>
      </c>
      <c r="C5" s="4">
        <f t="shared" si="1"/>
        <v>77.784364813485467</v>
      </c>
      <c r="D5" s="4">
        <f t="shared" si="0"/>
        <v>2042.0816002022818</v>
      </c>
      <c r="E5" s="5">
        <v>1.95524450218523</v>
      </c>
      <c r="F5" s="5">
        <v>2.08907667820035</v>
      </c>
      <c r="G5" s="5">
        <v>2.23331405553155</v>
      </c>
      <c r="H5" s="5">
        <v>3.27798918880351</v>
      </c>
      <c r="I5" s="5">
        <v>3.56541165659165</v>
      </c>
      <c r="J5" s="5">
        <v>3.8739548345705801</v>
      </c>
    </row>
    <row r="6" spans="1:10" x14ac:dyDescent="0.25">
      <c r="A6" s="3">
        <v>4</v>
      </c>
      <c r="B6" s="4">
        <v>54.707257999999996</v>
      </c>
      <c r="C6" s="4">
        <f t="shared" si="1"/>
        <v>75.784364813485467</v>
      </c>
      <c r="D6" s="4">
        <f t="shared" si="0"/>
        <v>2012.0816002022818</v>
      </c>
      <c r="E6" s="5">
        <v>1.94194192767198</v>
      </c>
      <c r="F6" s="5">
        <v>2.0751135505679299</v>
      </c>
      <c r="G6" s="5">
        <v>2.2181812299543799</v>
      </c>
      <c r="H6" s="5">
        <v>3.22229279599116</v>
      </c>
      <c r="I6" s="5">
        <v>3.5051298322935001</v>
      </c>
      <c r="J6" s="5">
        <v>3.8080100724836901</v>
      </c>
    </row>
    <row r="7" spans="1:10" x14ac:dyDescent="0.25">
      <c r="A7" s="3">
        <v>5</v>
      </c>
      <c r="B7" s="4">
        <v>54.707257999999996</v>
      </c>
      <c r="C7" s="4">
        <f t="shared" si="1"/>
        <v>73.784364813485467</v>
      </c>
      <c r="D7" s="4">
        <f t="shared" si="0"/>
        <v>1982.0816002022818</v>
      </c>
      <c r="E7" s="5">
        <v>1.9294656697902199</v>
      </c>
      <c r="F7" s="5">
        <v>2.0620381377238299</v>
      </c>
      <c r="G7" s="5">
        <v>2.2042813218348698</v>
      </c>
      <c r="H7" s="5">
        <v>3.16252361072286</v>
      </c>
      <c r="I7" s="5">
        <v>3.4407828083188798</v>
      </c>
      <c r="J7" s="5">
        <v>3.7380218627958501</v>
      </c>
    </row>
    <row r="8" spans="1:10" x14ac:dyDescent="0.25">
      <c r="A8" s="3">
        <v>6</v>
      </c>
      <c r="B8" s="4">
        <v>54.707257999999996</v>
      </c>
      <c r="C8" s="4">
        <f t="shared" si="1"/>
        <v>71.784364813485467</v>
      </c>
      <c r="D8" s="4">
        <f t="shared" si="0"/>
        <v>1952.0816002022818</v>
      </c>
      <c r="E8" s="5">
        <v>1.9176914530840099</v>
      </c>
      <c r="F8" s="5">
        <v>2.04975383504113</v>
      </c>
      <c r="G8" s="5">
        <v>2.19149132968538</v>
      </c>
      <c r="H8" s="5">
        <v>3.09858614541954</v>
      </c>
      <c r="I8" s="5">
        <v>3.3722696648349699</v>
      </c>
      <c r="J8" s="5">
        <v>3.6638964451684601</v>
      </c>
    </row>
    <row r="9" spans="1:10" x14ac:dyDescent="0.25">
      <c r="A9" s="3">
        <v>7</v>
      </c>
      <c r="B9" s="4">
        <v>54.707257999999996</v>
      </c>
      <c r="C9" s="4">
        <f t="shared" si="1"/>
        <v>69.784364813485467</v>
      </c>
      <c r="D9" s="4">
        <f t="shared" si="0"/>
        <v>1922.0816002022818</v>
      </c>
      <c r="E9" s="5">
        <v>1.9064348589701099</v>
      </c>
      <c r="F9" s="5">
        <v>2.0380995322783599</v>
      </c>
      <c r="G9" s="5">
        <v>2.1796002928673399</v>
      </c>
      <c r="H9" s="5">
        <v>3.0306006485353501</v>
      </c>
      <c r="I9" s="5">
        <v>3.29970595573019</v>
      </c>
      <c r="J9" s="5">
        <v>3.5857565901325201</v>
      </c>
    </row>
    <row r="10" spans="1:10" x14ac:dyDescent="0.25">
      <c r="A10" s="3">
        <v>8</v>
      </c>
      <c r="B10" s="4">
        <v>54.707257999999996</v>
      </c>
      <c r="C10" s="4">
        <f t="shared" si="1"/>
        <v>67.784364813485467</v>
      </c>
      <c r="D10" s="4">
        <f t="shared" si="0"/>
        <v>1892.0816002022818</v>
      </c>
      <c r="E10" s="5">
        <v>1.8954723581170401</v>
      </c>
      <c r="F10" s="5">
        <v>2.02686850907003</v>
      </c>
      <c r="G10" s="5">
        <v>2.16833378793747</v>
      </c>
      <c r="H10" s="5">
        <v>2.9588932815336402</v>
      </c>
      <c r="I10" s="5">
        <v>3.2234136108104101</v>
      </c>
      <c r="J10" s="5">
        <v>3.5039306073100298</v>
      </c>
    </row>
    <row r="11" spans="1:10" x14ac:dyDescent="0.25">
      <c r="A11" s="3">
        <v>9</v>
      </c>
      <c r="B11" s="4">
        <v>54.707257999999996</v>
      </c>
      <c r="C11" s="4">
        <f t="shared" si="1"/>
        <v>65.784364813485467</v>
      </c>
      <c r="D11" s="4">
        <f t="shared" si="0"/>
        <v>1862.0816002022818</v>
      </c>
      <c r="E11" s="5">
        <v>1.88456960689694</v>
      </c>
      <c r="F11" s="5">
        <v>2.0158372998352401</v>
      </c>
      <c r="G11" s="5">
        <v>2.15739277901584</v>
      </c>
      <c r="H11" s="5">
        <v>2.8839215359498702</v>
      </c>
      <c r="I11" s="5">
        <v>3.1438460044613001</v>
      </c>
      <c r="J11" s="5">
        <v>3.4188770567767</v>
      </c>
    </row>
    <row r="12" spans="1:10" x14ac:dyDescent="0.25">
      <c r="A12" s="3">
        <v>10</v>
      </c>
      <c r="B12" s="4">
        <v>54.707257999999996</v>
      </c>
      <c r="C12" s="4">
        <f t="shared" si="1"/>
        <v>63.784364813485467</v>
      </c>
      <c r="D12" s="4">
        <f t="shared" si="0"/>
        <v>1832.0816002022818</v>
      </c>
      <c r="E12" s="5">
        <v>1.8735066803301501</v>
      </c>
      <c r="F12" s="5">
        <v>2.0047908530176302</v>
      </c>
      <c r="G12" s="5">
        <v>2.1464873137908902</v>
      </c>
      <c r="H12" s="5">
        <v>2.8062181134859001</v>
      </c>
      <c r="I12" s="5">
        <v>3.06153158659597</v>
      </c>
      <c r="J12" s="5">
        <v>3.33112801282534</v>
      </c>
    </row>
    <row r="13" spans="1:10" x14ac:dyDescent="0.25">
      <c r="A13" s="3">
        <v>11</v>
      </c>
      <c r="B13" s="4">
        <v>54.707257999999996</v>
      </c>
      <c r="C13" s="4">
        <f t="shared" si="1"/>
        <v>61.784364813485467</v>
      </c>
      <c r="D13" s="4">
        <f t="shared" si="0"/>
        <v>1802.0816002022818</v>
      </c>
      <c r="E13" s="5">
        <v>1.8621180730273801</v>
      </c>
      <c r="F13" s="5">
        <v>1.99355585064378</v>
      </c>
      <c r="G13" s="5">
        <v>2.1353788236883</v>
      </c>
      <c r="H13" s="5">
        <v>2.72641937351852</v>
      </c>
      <c r="I13" s="5">
        <v>2.97710207263296</v>
      </c>
      <c r="J13" s="5">
        <v>3.2413153198700999</v>
      </c>
    </row>
    <row r="14" spans="1:10" x14ac:dyDescent="0.25">
      <c r="A14" s="3">
        <v>12</v>
      </c>
      <c r="B14" s="4">
        <v>54.707257999999996</v>
      </c>
      <c r="C14" s="4">
        <f t="shared" si="1"/>
        <v>59.784364813485467</v>
      </c>
      <c r="D14" s="4">
        <f t="shared" si="0"/>
        <v>1772.0816002022818</v>
      </c>
      <c r="E14" s="5">
        <v>1.85032266430689</v>
      </c>
      <c r="F14" s="5">
        <v>1.9820285185231601</v>
      </c>
      <c r="G14" s="5">
        <v>2.1239168170439799</v>
      </c>
      <c r="H14" s="5">
        <v>2.6452339985552098</v>
      </c>
      <c r="I14" s="5">
        <v>2.8912611552191798</v>
      </c>
      <c r="J14" s="5">
        <v>3.1501387390080802</v>
      </c>
    </row>
    <row r="15" spans="1:10" x14ac:dyDescent="0.25">
      <c r="A15" s="3">
        <v>13</v>
      </c>
      <c r="B15" s="4">
        <v>54.707257999999996</v>
      </c>
      <c r="C15" s="4">
        <f t="shared" si="1"/>
        <v>57.784364813485467</v>
      </c>
      <c r="D15" s="4">
        <f t="shared" si="0"/>
        <v>1742.0816002022818</v>
      </c>
      <c r="E15" s="5">
        <v>1.8381195425138599</v>
      </c>
      <c r="F15" s="5">
        <v>1.9701742783515399</v>
      </c>
      <c r="G15" s="5">
        <v>2.1120400642108699</v>
      </c>
      <c r="H15" s="5">
        <v>2.56338136344801</v>
      </c>
      <c r="I15" s="5">
        <v>2.8047233734717798</v>
      </c>
      <c r="J15" s="5">
        <v>3.0583061708524601</v>
      </c>
    </row>
    <row r="16" spans="1:10" x14ac:dyDescent="0.25">
      <c r="A16" s="3">
        <v>14</v>
      </c>
      <c r="B16" s="4">
        <v>54.707257999999996</v>
      </c>
      <c r="C16" s="4">
        <f t="shared" si="1"/>
        <v>55.784364813485467</v>
      </c>
      <c r="D16" s="4">
        <f t="shared" si="0"/>
        <v>1712.0816002022818</v>
      </c>
      <c r="E16" s="5">
        <v>1.82556623929365</v>
      </c>
      <c r="F16" s="5">
        <v>1.9580103360693399</v>
      </c>
      <c r="G16" s="5">
        <v>2.0997549218833602</v>
      </c>
      <c r="H16" s="5">
        <v>2.4815624111118</v>
      </c>
      <c r="I16" s="5">
        <v>2.7181853804084199</v>
      </c>
      <c r="J16" s="5">
        <v>2.9665063528542599</v>
      </c>
    </row>
    <row r="17" spans="1:10" x14ac:dyDescent="0.25">
      <c r="A17" s="3">
        <v>15</v>
      </c>
      <c r="B17" s="4">
        <v>54.707257999999996</v>
      </c>
      <c r="C17" s="4">
        <f t="shared" si="1"/>
        <v>53.784364813485467</v>
      </c>
      <c r="D17" s="4">
        <f t="shared" si="0"/>
        <v>1682.0816002022818</v>
      </c>
      <c r="E17" s="5">
        <v>1.8127682344998699</v>
      </c>
      <c r="F17" s="5">
        <v>1.94559847851058</v>
      </c>
      <c r="G17" s="5">
        <v>2.0871273681459499</v>
      </c>
      <c r="H17" s="5">
        <v>2.4004222714580399</v>
      </c>
      <c r="I17" s="5">
        <v>2.63228982352843</v>
      </c>
      <c r="J17" s="5">
        <v>2.8753745923750902</v>
      </c>
    </row>
    <row r="18" spans="1:10" x14ac:dyDescent="0.25">
      <c r="A18" s="3">
        <v>16</v>
      </c>
      <c r="B18" s="4">
        <v>54.707257999999996</v>
      </c>
      <c r="C18" s="4">
        <f t="shared" si="1"/>
        <v>51.784364813485467</v>
      </c>
      <c r="D18" s="4">
        <f t="shared" si="0"/>
        <v>1652.0816002022818</v>
      </c>
      <c r="E18" s="5">
        <v>1.7998826356039701</v>
      </c>
      <c r="F18" s="5">
        <v>1.93305055116558</v>
      </c>
      <c r="G18" s="5">
        <v>2.0742918241907198</v>
      </c>
      <c r="H18" s="5">
        <v>2.3205076540514602</v>
      </c>
      <c r="I18" s="5">
        <v>2.5475847910760598</v>
      </c>
      <c r="J18" s="5">
        <v>2.7854542748457001</v>
      </c>
    </row>
    <row r="19" spans="1:10" x14ac:dyDescent="0.25">
      <c r="A19" s="3">
        <v>17</v>
      </c>
      <c r="B19" s="4">
        <v>54.707257999999996</v>
      </c>
      <c r="C19" s="4">
        <f t="shared" si="1"/>
        <v>49.784364813485467</v>
      </c>
      <c r="D19" s="4">
        <f t="shared" si="0"/>
        <v>1622.0816002022818</v>
      </c>
      <c r="E19" s="5">
        <v>1.78708836972078</v>
      </c>
      <c r="F19" s="5">
        <v>1.92050371057947</v>
      </c>
      <c r="G19" s="5">
        <v>2.0614202927255101</v>
      </c>
      <c r="H19" s="5">
        <v>2.2422502849887098</v>
      </c>
      <c r="I19" s="5">
        <v>2.4645094881338299</v>
      </c>
      <c r="J19" s="5">
        <v>2.6971854848313801</v>
      </c>
    </row>
    <row r="20" spans="1:10" x14ac:dyDescent="0.25">
      <c r="A20" s="3">
        <v>18</v>
      </c>
      <c r="B20" s="4">
        <v>54.707257999999996</v>
      </c>
      <c r="C20" s="4">
        <f t="shared" si="1"/>
        <v>47.784364813485467</v>
      </c>
      <c r="D20" s="4">
        <f t="shared" si="0"/>
        <v>1592.0816002022818</v>
      </c>
      <c r="E20" s="5">
        <v>1.7745516714240099</v>
      </c>
      <c r="F20" s="5">
        <v>1.90809037412629</v>
      </c>
      <c r="G20" s="5">
        <v>2.0486836565165798</v>
      </c>
      <c r="H20" s="5">
        <v>2.1659786280308801</v>
      </c>
      <c r="I20" s="5">
        <v>2.3834074768151599</v>
      </c>
      <c r="J20" s="5">
        <v>2.6109203649184001</v>
      </c>
    </row>
    <row r="21" spans="1:10" x14ac:dyDescent="0.25">
      <c r="A21" s="3">
        <v>19</v>
      </c>
      <c r="B21" s="4">
        <v>54.707257999999996</v>
      </c>
      <c r="C21" s="4">
        <f t="shared" si="1"/>
        <v>45.784364813485467</v>
      </c>
      <c r="D21" s="4">
        <f t="shared" si="0"/>
        <v>1562.0816002022818</v>
      </c>
      <c r="E21" s="5">
        <v>1.76239973900293</v>
      </c>
      <c r="F21" s="5">
        <v>1.8959139306735799</v>
      </c>
      <c r="G21" s="5">
        <v>2.0362191324659902</v>
      </c>
      <c r="H21" s="5">
        <v>2.09195760446929</v>
      </c>
      <c r="I21" s="5">
        <v>2.3045662386230199</v>
      </c>
      <c r="J21" s="5">
        <v>2.52696280263691</v>
      </c>
    </row>
    <row r="22" spans="1:10" x14ac:dyDescent="0.25">
      <c r="A22" s="3">
        <v>20</v>
      </c>
      <c r="B22" s="4">
        <v>54.707257999999996</v>
      </c>
      <c r="C22" s="4">
        <f t="shared" si="1"/>
        <v>43.784364813485467</v>
      </c>
      <c r="D22" s="4">
        <f t="shared" si="0"/>
        <v>1532.0816002022818</v>
      </c>
      <c r="E22" s="5">
        <v>1.7506927215438099</v>
      </c>
      <c r="F22" s="5">
        <v>1.88402417523439</v>
      </c>
      <c r="G22" s="5">
        <v>2.0240978683083801</v>
      </c>
      <c r="H22" s="5">
        <v>2.02042084330798</v>
      </c>
      <c r="I22" s="5">
        <v>2.2282506275868599</v>
      </c>
      <c r="J22" s="5">
        <v>2.4456031060632801</v>
      </c>
    </row>
    <row r="23" spans="1:10" x14ac:dyDescent="0.25">
      <c r="A23" s="3">
        <v>21</v>
      </c>
      <c r="B23" s="4">
        <v>54.707257999999996</v>
      </c>
      <c r="C23" s="4">
        <f t="shared" si="1"/>
        <v>41.784364813485467</v>
      </c>
      <c r="D23" s="4">
        <f t="shared" si="0"/>
        <v>1502.0816002022818</v>
      </c>
      <c r="E23" s="5">
        <v>1.73939610515355</v>
      </c>
      <c r="F23" s="5">
        <v>1.8723938633306001</v>
      </c>
      <c r="G23" s="5">
        <v>2.0122938512202402</v>
      </c>
      <c r="H23" s="5">
        <v>1.95160629468903</v>
      </c>
      <c r="I23" s="5">
        <v>2.1547401320625199</v>
      </c>
      <c r="J23" s="5">
        <v>2.36715658395046</v>
      </c>
    </row>
    <row r="24" spans="1:10" x14ac:dyDescent="0.25">
      <c r="A24" s="3">
        <v>22</v>
      </c>
      <c r="B24" s="4">
        <v>54.707257999999996</v>
      </c>
      <c r="C24" s="4">
        <f t="shared" si="1"/>
        <v>39.784364813485467</v>
      </c>
      <c r="D24" s="4">
        <f t="shared" si="0"/>
        <v>1472.0816002022818</v>
      </c>
      <c r="E24" s="5">
        <v>1.7283881063033499</v>
      </c>
      <c r="F24" s="5">
        <v>1.86092479142275</v>
      </c>
      <c r="G24" s="5">
        <v>2.00068991625397</v>
      </c>
      <c r="H24" s="5">
        <v>1.8857911644971399</v>
      </c>
      <c r="I24" s="5">
        <v>2.0843619775438902</v>
      </c>
      <c r="J24" s="5">
        <v>2.2919941051935799</v>
      </c>
    </row>
    <row r="25" spans="1:10" x14ac:dyDescent="0.25">
      <c r="A25" s="3">
        <v>23</v>
      </c>
      <c r="B25" s="4">
        <v>54.707257999999996</v>
      </c>
      <c r="C25" s="4">
        <f t="shared" si="1"/>
        <v>37.784364813485467</v>
      </c>
      <c r="D25" s="4">
        <f t="shared" si="0"/>
        <v>1442.0816002022818</v>
      </c>
      <c r="E25" s="5">
        <v>1.71749621429149</v>
      </c>
      <c r="F25" s="5">
        <v>1.8494786132096801</v>
      </c>
      <c r="G25" s="5">
        <v>1.9891157408409901</v>
      </c>
      <c r="H25" s="5">
        <v>1.8233029749085199</v>
      </c>
      <c r="I25" s="5">
        <v>2.01749780581879</v>
      </c>
      <c r="J25" s="5">
        <v>2.2205437757291602</v>
      </c>
    </row>
    <row r="26" spans="1:10" x14ac:dyDescent="0.25">
      <c r="A26" s="3">
        <v>24</v>
      </c>
      <c r="B26" s="4">
        <v>54.707257999999996</v>
      </c>
      <c r="C26" s="4">
        <f t="shared" si="1"/>
        <v>35.784364813485467</v>
      </c>
      <c r="D26" s="4">
        <f t="shared" si="0"/>
        <v>1412.0816002022818</v>
      </c>
      <c r="E26" s="5">
        <v>1.7065379729542201</v>
      </c>
      <c r="F26" s="5">
        <v>1.8379119837968101</v>
      </c>
      <c r="G26" s="5">
        <v>1.9773915498318499</v>
      </c>
      <c r="H26" s="5">
        <v>1.7645144833208899</v>
      </c>
      <c r="I26" s="5">
        <v>1.9545736014789401</v>
      </c>
      <c r="J26" s="5">
        <v>2.1532752644328701</v>
      </c>
    </row>
    <row r="27" spans="1:10" x14ac:dyDescent="0.25">
      <c r="A27" s="3">
        <v>25</v>
      </c>
      <c r="B27" s="4">
        <v>54.707257999999996</v>
      </c>
      <c r="C27" s="4">
        <f t="shared" si="1"/>
        <v>33.784364813485467</v>
      </c>
      <c r="D27" s="4">
        <f t="shared" si="0"/>
        <v>1382.0816002022818</v>
      </c>
      <c r="E27" s="5">
        <v>1.69535615665165</v>
      </c>
      <c r="F27" s="5">
        <v>1.8261064607145601</v>
      </c>
      <c r="G27" s="5">
        <v>1.96536605413892</v>
      </c>
      <c r="H27" s="5">
        <v>1.70981547946634</v>
      </c>
      <c r="I27" s="5">
        <v>1.8960268847416399</v>
      </c>
      <c r="J27" s="5">
        <v>2.09066244282088</v>
      </c>
    </row>
    <row r="28" spans="1:10" x14ac:dyDescent="0.25">
      <c r="A28" s="3">
        <v>26</v>
      </c>
      <c r="B28" s="4">
        <v>54.707257999999996</v>
      </c>
      <c r="C28" s="4">
        <f t="shared" si="1"/>
        <v>31.784364813485467</v>
      </c>
      <c r="D28" s="4">
        <f t="shared" si="0"/>
        <v>1352.0816002022818</v>
      </c>
      <c r="E28" s="5">
        <v>1.68385162451766</v>
      </c>
      <c r="F28" s="5">
        <v>1.8139961504444699</v>
      </c>
      <c r="G28" s="5">
        <v>1.95295175741514</v>
      </c>
      <c r="H28" s="5">
        <v>1.6595667445859901</v>
      </c>
      <c r="I28" s="5">
        <v>1.84225527102973</v>
      </c>
      <c r="J28" s="5">
        <v>2.0331270246207498</v>
      </c>
    </row>
    <row r="29" spans="1:10" x14ac:dyDescent="0.25">
      <c r="A29" s="3">
        <v>27</v>
      </c>
      <c r="B29" s="4">
        <v>54.707257999999996</v>
      </c>
      <c r="C29" s="4">
        <f t="shared" si="1"/>
        <v>29.784364813485467</v>
      </c>
      <c r="D29" s="4">
        <f t="shared" si="0"/>
        <v>1322.0816002022818</v>
      </c>
      <c r="E29" s="5">
        <v>1.6720052245986501</v>
      </c>
      <c r="F29" s="5">
        <v>1.80158517802069</v>
      </c>
      <c r="G29" s="5">
        <v>1.94014764873394</v>
      </c>
      <c r="H29" s="5">
        <v>1.6140356556334801</v>
      </c>
      <c r="I29" s="5">
        <v>1.79354629062997</v>
      </c>
      <c r="J29" s="5">
        <v>1.9809638038967801</v>
      </c>
    </row>
    <row r="30" spans="1:10" x14ac:dyDescent="0.25">
      <c r="A30" s="3">
        <v>28</v>
      </c>
      <c r="B30" s="4">
        <v>54.707257999999996</v>
      </c>
      <c r="C30" s="4">
        <f t="shared" si="1"/>
        <v>27.784364813485467</v>
      </c>
      <c r="D30" s="4">
        <f t="shared" si="0"/>
        <v>1292.0816002022818</v>
      </c>
      <c r="E30" s="5">
        <v>1.6598777728634799</v>
      </c>
      <c r="F30" s="5">
        <v>1.7889455068697799</v>
      </c>
      <c r="G30" s="5">
        <v>1.92703729223924</v>
      </c>
      <c r="H30" s="5">
        <v>1.57333606136256</v>
      </c>
      <c r="I30" s="5">
        <v>1.75001352370539</v>
      </c>
      <c r="J30" s="5">
        <v>1.9342747759955701</v>
      </c>
    </row>
    <row r="31" spans="1:10" x14ac:dyDescent="0.25">
      <c r="A31" s="3">
        <v>29</v>
      </c>
      <c r="B31" s="4">
        <v>54.707257999999996</v>
      </c>
      <c r="C31" s="4">
        <f t="shared" si="1"/>
        <v>25.784364813485467</v>
      </c>
      <c r="D31" s="4">
        <f t="shared" si="0"/>
        <v>1262.0816002022818</v>
      </c>
      <c r="E31" s="5">
        <v>1.64758257802918</v>
      </c>
      <c r="F31" s="5">
        <v>1.7761904725128901</v>
      </c>
      <c r="G31" s="5">
        <v>1.91375643425774</v>
      </c>
      <c r="H31" s="5">
        <v>1.53738944635163</v>
      </c>
      <c r="I31" s="5">
        <v>1.7115577341067301</v>
      </c>
      <c r="J31" s="5">
        <v>1.8929322641561801</v>
      </c>
    </row>
    <row r="32" spans="1:10" x14ac:dyDescent="0.25">
      <c r="A32" s="3">
        <v>30</v>
      </c>
      <c r="B32" s="4">
        <v>54.707257999999996</v>
      </c>
      <c r="C32" s="4">
        <f t="shared" si="1"/>
        <v>23.784364813485467</v>
      </c>
      <c r="D32" s="4">
        <f t="shared" si="0"/>
        <v>1232.0816002022818</v>
      </c>
      <c r="E32" s="5">
        <v>1.6352496636159</v>
      </c>
      <c r="F32" s="5">
        <v>1.7634408823690899</v>
      </c>
      <c r="G32" s="5">
        <v>1.90045106428824</v>
      </c>
      <c r="H32" s="5">
        <v>1.5058928719326901</v>
      </c>
      <c r="I32" s="5">
        <v>1.67783534561017</v>
      </c>
      <c r="J32" s="5">
        <v>1.8565500813920801</v>
      </c>
    </row>
    <row r="33" spans="1:10" x14ac:dyDescent="0.25">
      <c r="A33" s="3">
        <v>31</v>
      </c>
      <c r="B33" s="4">
        <v>54.707257999999996</v>
      </c>
      <c r="C33" s="4">
        <f t="shared" si="1"/>
        <v>21.784364813485467</v>
      </c>
      <c r="D33" s="4">
        <f t="shared" si="0"/>
        <v>1202.0816002022818</v>
      </c>
      <c r="E33" s="5">
        <v>1.6229753530411</v>
      </c>
      <c r="F33" s="5">
        <v>1.7507777018363999</v>
      </c>
      <c r="G33" s="5">
        <v>1.8872186728514</v>
      </c>
      <c r="H33" s="5">
        <v>1.4782943295148001</v>
      </c>
      <c r="I33" s="5">
        <v>1.6482356773767901</v>
      </c>
      <c r="J33" s="5">
        <v>1.82446525426518</v>
      </c>
    </row>
    <row r="34" spans="1:10" x14ac:dyDescent="0.25">
      <c r="A34" s="3">
        <v>32</v>
      </c>
      <c r="B34" s="4">
        <v>54.707257999999996</v>
      </c>
      <c r="C34" s="4">
        <f t="shared" si="1"/>
        <v>19.784364813485467</v>
      </c>
      <c r="D34" s="4">
        <f t="shared" ref="D34:D52" si="2">B34 + AVERAGE(B34:C34) * 30</f>
        <v>1172.0816002022818</v>
      </c>
      <c r="E34" s="5">
        <v>1.6107692537959299</v>
      </c>
      <c r="F34" s="5">
        <v>1.7381930315266001</v>
      </c>
      <c r="G34" s="5">
        <v>1.8740474388720501</v>
      </c>
      <c r="H34" s="5">
        <v>1.4537985363596899</v>
      </c>
      <c r="I34" s="5">
        <v>1.62189129867333</v>
      </c>
      <c r="J34" s="5">
        <v>1.79575504262826</v>
      </c>
    </row>
    <row r="35" spans="1:10" x14ac:dyDescent="0.25">
      <c r="A35" s="3">
        <v>33</v>
      </c>
      <c r="B35" s="4">
        <v>54.707257999999996</v>
      </c>
      <c r="C35" s="4">
        <f t="shared" ref="C35:C52" si="3">C34 - 2</f>
        <v>17.784364813485467</v>
      </c>
      <c r="D35" s="4">
        <f t="shared" si="2"/>
        <v>1142.0816002022818</v>
      </c>
      <c r="E35" s="5">
        <v>1.5985404016298801</v>
      </c>
      <c r="F35" s="5">
        <v>1.72558072568504</v>
      </c>
      <c r="G35" s="5">
        <v>1.8608045808681</v>
      </c>
      <c r="H35" s="5">
        <v>1.4314813545101801</v>
      </c>
      <c r="I35" s="5">
        <v>1.59780332457619</v>
      </c>
      <c r="J35" s="5">
        <v>1.76937086453822</v>
      </c>
    </row>
    <row r="36" spans="1:10" x14ac:dyDescent="0.25">
      <c r="A36" s="3">
        <v>34</v>
      </c>
      <c r="B36" s="4">
        <v>54.707257999999996</v>
      </c>
      <c r="C36" s="4">
        <f t="shared" si="3"/>
        <v>15.784364813485467</v>
      </c>
      <c r="D36" s="4">
        <f t="shared" si="2"/>
        <v>1112.0816002022818</v>
      </c>
      <c r="E36" s="5">
        <v>1.58613316940835</v>
      </c>
      <c r="F36" s="5">
        <v>1.7127739135145701</v>
      </c>
      <c r="G36" s="5">
        <v>1.8472830571663099</v>
      </c>
      <c r="H36" s="5">
        <v>1.410428964037</v>
      </c>
      <c r="I36" s="5">
        <v>1.5749900891250299</v>
      </c>
      <c r="J36" s="5">
        <v>1.7442915385404201</v>
      </c>
    </row>
    <row r="37" spans="1:10" x14ac:dyDescent="0.25">
      <c r="A37" s="3">
        <v>35</v>
      </c>
      <c r="B37" s="4">
        <v>54.707257999999996</v>
      </c>
      <c r="C37" s="4">
        <f t="shared" si="3"/>
        <v>13.784364813485467</v>
      </c>
      <c r="D37" s="4">
        <f t="shared" si="2"/>
        <v>1082.0816002022818</v>
      </c>
      <c r="E37" s="5">
        <v>1.57336299771262</v>
      </c>
      <c r="F37" s="5">
        <v>1.6995814680920101</v>
      </c>
      <c r="G37" s="5">
        <v>1.8332476182856901</v>
      </c>
      <c r="H37" s="5">
        <v>1.3898634313927201</v>
      </c>
      <c r="I37" s="5">
        <v>1.5526219031830399</v>
      </c>
      <c r="J37" s="5">
        <v>1.71966301833681</v>
      </c>
    </row>
    <row r="38" spans="1:10" x14ac:dyDescent="0.25">
      <c r="A38" s="3">
        <v>36</v>
      </c>
      <c r="B38" s="4">
        <v>54.707257999999996</v>
      </c>
      <c r="C38" s="4">
        <f t="shared" si="3"/>
        <v>11.784364813485467</v>
      </c>
      <c r="D38" s="4">
        <f t="shared" si="2"/>
        <v>1052.0816002022818</v>
      </c>
      <c r="E38" s="5">
        <v>1.56005798695495</v>
      </c>
      <c r="F38" s="5">
        <v>1.6858287680948301</v>
      </c>
      <c r="G38" s="5">
        <v>1.8184860646554399</v>
      </c>
      <c r="H38" s="5">
        <v>1.3692254171364799</v>
      </c>
      <c r="I38" s="5">
        <v>1.5301087804348901</v>
      </c>
      <c r="J38" s="5">
        <v>1.69488759632813</v>
      </c>
    </row>
    <row r="39" spans="1:10" x14ac:dyDescent="0.25">
      <c r="A39" s="3">
        <v>37</v>
      </c>
      <c r="B39" s="4">
        <v>54.707257999999996</v>
      </c>
      <c r="C39" s="4">
        <f t="shared" si="3"/>
        <v>9.7843648134854675</v>
      </c>
      <c r="D39" s="4">
        <f t="shared" si="2"/>
        <v>1022.0816002022819</v>
      </c>
      <c r="E39" s="5">
        <v>1.54611889804699</v>
      </c>
      <c r="F39" s="5">
        <v>1.67141559273956</v>
      </c>
      <c r="G39" s="5">
        <v>1.8028818747161801</v>
      </c>
      <c r="H39" s="5">
        <v>1.34825795788228</v>
      </c>
      <c r="I39" s="5">
        <v>1.50718830304739</v>
      </c>
      <c r="J39" s="5">
        <v>1.6697114227085399</v>
      </c>
    </row>
    <row r="40" spans="1:10" x14ac:dyDescent="0.25">
      <c r="A40" s="3">
        <v>38</v>
      </c>
      <c r="B40" s="4">
        <v>54.707257999999996</v>
      </c>
      <c r="C40" s="4">
        <f t="shared" si="3"/>
        <v>7.7843648134854675</v>
      </c>
      <c r="D40" s="4">
        <f t="shared" si="2"/>
        <v>992.08160020228195</v>
      </c>
      <c r="E40" s="5">
        <v>1.5315583484330499</v>
      </c>
      <c r="F40" s="5">
        <v>1.6563534195161</v>
      </c>
      <c r="G40" s="5">
        <v>1.7864606677573001</v>
      </c>
      <c r="H40" s="5">
        <v>1.3270362983213499</v>
      </c>
      <c r="I40" s="5">
        <v>1.4839556887051799</v>
      </c>
      <c r="J40" s="5">
        <v>1.6442522470185901</v>
      </c>
    </row>
    <row r="41" spans="1:10" x14ac:dyDescent="0.25">
      <c r="A41" s="3">
        <v>39</v>
      </c>
      <c r="B41" s="4">
        <v>54.707257999999996</v>
      </c>
      <c r="C41" s="4">
        <f t="shared" si="3"/>
        <v>5.7843648134854675</v>
      </c>
      <c r="D41" s="4">
        <f t="shared" si="2"/>
        <v>962.08160020228195</v>
      </c>
      <c r="E41" s="5">
        <v>1.5164932693639701</v>
      </c>
      <c r="F41" s="5">
        <v>1.64075644311515</v>
      </c>
      <c r="G41" s="5">
        <v>1.76937774218368</v>
      </c>
      <c r="H41" s="5">
        <v>1.3058729974374099</v>
      </c>
      <c r="I41" s="5">
        <v>1.4607598064751499</v>
      </c>
      <c r="J41" s="5">
        <v>1.6188881322625699</v>
      </c>
    </row>
    <row r="42" spans="1:10" x14ac:dyDescent="0.25">
      <c r="A42" s="3">
        <v>40</v>
      </c>
      <c r="B42" s="4">
        <v>54.707257999999996</v>
      </c>
      <c r="C42" s="4">
        <f t="shared" si="3"/>
        <v>3.7843648134854675</v>
      </c>
      <c r="D42" s="4">
        <f t="shared" si="2"/>
        <v>932.08160020228195</v>
      </c>
      <c r="E42" s="5">
        <v>1.50112174016157</v>
      </c>
      <c r="F42" s="5">
        <v>1.62481809058529</v>
      </c>
      <c r="G42" s="5">
        <v>1.7518874230541599</v>
      </c>
      <c r="H42" s="5">
        <v>1.2852218061849601</v>
      </c>
      <c r="I42" s="5">
        <v>1.4380987143764301</v>
      </c>
      <c r="J42" s="5">
        <v>1.5941470725876601</v>
      </c>
    </row>
    <row r="43" spans="1:10" x14ac:dyDescent="0.25">
      <c r="A43" s="3">
        <v>41</v>
      </c>
      <c r="B43" s="4">
        <v>54.707257999999996</v>
      </c>
      <c r="C43" s="4">
        <f t="shared" si="3"/>
        <v>1.7843648134854675</v>
      </c>
      <c r="D43" s="4">
        <f t="shared" si="2"/>
        <v>902.08160020228195</v>
      </c>
      <c r="E43" s="5">
        <v>1.4856941012962499</v>
      </c>
      <c r="F43" s="5">
        <v>1.6087825744031701</v>
      </c>
      <c r="G43" s="5">
        <v>1.73430650958513</v>
      </c>
      <c r="H43" s="5">
        <v>1.2655994575692</v>
      </c>
      <c r="I43" s="5">
        <v>1.4165352800743001</v>
      </c>
      <c r="J43" s="5">
        <v>1.5706189020694401</v>
      </c>
    </row>
    <row r="44" spans="1:10" x14ac:dyDescent="0.25">
      <c r="A44" s="3">
        <v>42</v>
      </c>
      <c r="B44" s="4">
        <v>54.707257999999996</v>
      </c>
      <c r="C44" s="4">
        <f t="shared" si="3"/>
        <v>-0.21563518651453251</v>
      </c>
      <c r="D44" s="4">
        <f t="shared" si="2"/>
        <v>872.08160020228195</v>
      </c>
      <c r="E44" s="5">
        <v>1.47046784079591</v>
      </c>
      <c r="F44" s="5">
        <v>1.59290106048834</v>
      </c>
      <c r="G44" s="5">
        <v>1.71695829228465</v>
      </c>
      <c r="H44" s="5">
        <v>1.2474905370786</v>
      </c>
      <c r="I44" s="5">
        <v>1.39659511752774</v>
      </c>
      <c r="J44" s="5">
        <v>1.5488497470406799</v>
      </c>
    </row>
    <row r="45" spans="1:10" x14ac:dyDescent="0.25">
      <c r="A45" s="3">
        <v>43</v>
      </c>
      <c r="B45" s="4">
        <v>54.707257999999996</v>
      </c>
      <c r="C45" s="4">
        <f t="shared" si="3"/>
        <v>-2.2156351865145325</v>
      </c>
      <c r="D45" s="4">
        <f t="shared" si="2"/>
        <v>842.08160020228195</v>
      </c>
      <c r="E45" s="5">
        <v>1.4556730691636901</v>
      </c>
      <c r="F45" s="5">
        <v>1.5773983503084701</v>
      </c>
      <c r="G45" s="5">
        <v>1.70012956430725</v>
      </c>
      <c r="H45" s="5">
        <v>1.23127288524176</v>
      </c>
      <c r="I45" s="5">
        <v>1.3786861666947099</v>
      </c>
      <c r="J45" s="5">
        <v>1.52925811659452</v>
      </c>
    </row>
    <row r="46" spans="1:10" x14ac:dyDescent="0.25">
      <c r="A46" s="3">
        <v>44</v>
      </c>
      <c r="B46" s="4">
        <v>54.707257999999996</v>
      </c>
      <c r="C46" s="4">
        <f t="shared" si="3"/>
        <v>-4.2156351865145325</v>
      </c>
      <c r="D46" s="4">
        <f t="shared" si="2"/>
        <v>812.08160020228195</v>
      </c>
      <c r="E46" s="5">
        <v>1.44148467297216</v>
      </c>
      <c r="F46" s="5">
        <v>1.56244613640082</v>
      </c>
      <c r="G46" s="5">
        <v>1.68403718608538</v>
      </c>
      <c r="H46" s="5">
        <v>1.21718187504711</v>
      </c>
      <c r="I46" s="5">
        <v>1.3630613574941</v>
      </c>
      <c r="J46" s="5">
        <v>1.5120981309339601</v>
      </c>
    </row>
    <row r="47" spans="1:10" x14ac:dyDescent="0.25">
      <c r="A47" s="3">
        <v>45</v>
      </c>
      <c r="B47" s="4">
        <v>54.707257999999996</v>
      </c>
      <c r="C47" s="4">
        <f t="shared" si="3"/>
        <v>-6.2156351865145325</v>
      </c>
      <c r="D47" s="4">
        <f t="shared" si="2"/>
        <v>782.08160020228195</v>
      </c>
      <c r="E47" s="5">
        <v>1.4279985317636601</v>
      </c>
      <c r="F47" s="5">
        <v>1.54814023167467</v>
      </c>
      <c r="G47" s="5">
        <v>1.66879953919048</v>
      </c>
      <c r="H47" s="5">
        <v>1.20527933849974</v>
      </c>
      <c r="I47" s="5">
        <v>1.3497860430539901</v>
      </c>
      <c r="J47" s="5">
        <v>1.4974272984494299</v>
      </c>
    </row>
    <row r="48" spans="1:10" x14ac:dyDescent="0.25">
      <c r="A48" s="3">
        <v>46</v>
      </c>
      <c r="B48" s="4">
        <v>54.707257999999996</v>
      </c>
      <c r="C48" s="4">
        <f t="shared" si="3"/>
        <v>-8.2156351865145325</v>
      </c>
      <c r="D48" s="4">
        <f t="shared" si="2"/>
        <v>752.08160020228195</v>
      </c>
      <c r="E48" s="5">
        <v>1.4152394998031399</v>
      </c>
      <c r="F48" s="5">
        <v>1.5345082773351599</v>
      </c>
      <c r="G48" s="5">
        <v>1.6544471181954901</v>
      </c>
      <c r="H48" s="5">
        <v>1.1954829919272001</v>
      </c>
      <c r="I48" s="5">
        <v>1.33877038427453</v>
      </c>
      <c r="J48" s="5">
        <v>1.4851415962405099</v>
      </c>
    </row>
    <row r="49" spans="1:10" x14ac:dyDescent="0.25">
      <c r="A49" s="3">
        <v>47</v>
      </c>
      <c r="B49" s="4">
        <v>54.707257999999996</v>
      </c>
      <c r="C49" s="4">
        <f t="shared" si="3"/>
        <v>-10.215635186514533</v>
      </c>
      <c r="D49" s="4">
        <f t="shared" si="2"/>
        <v>722.08160020228195</v>
      </c>
      <c r="E49" s="5">
        <v>1.4031723036778301</v>
      </c>
      <c r="F49" s="5">
        <v>1.5215201905039999</v>
      </c>
      <c r="G49" s="5">
        <v>1.6409365739558199</v>
      </c>
      <c r="H49" s="5">
        <v>1.1875989846763899</v>
      </c>
      <c r="I49" s="5">
        <v>1.32980495284027</v>
      </c>
      <c r="J49" s="5">
        <v>1.4750137279439299</v>
      </c>
    </row>
    <row r="50" spans="1:10" x14ac:dyDescent="0.25">
      <c r="A50" s="3">
        <v>48</v>
      </c>
      <c r="B50" s="4">
        <v>54.707257999999996</v>
      </c>
      <c r="C50" s="4">
        <f t="shared" si="3"/>
        <v>-12.215635186514533</v>
      </c>
      <c r="D50" s="4">
        <f t="shared" si="2"/>
        <v>692.08160020228195</v>
      </c>
      <c r="E50" s="5">
        <v>1.39171110399345</v>
      </c>
      <c r="F50" s="5">
        <v>1.5090972537404601</v>
      </c>
      <c r="G50" s="5">
        <v>1.6281628128311401</v>
      </c>
      <c r="H50" s="5">
        <v>1.1813474335976699</v>
      </c>
      <c r="I50" s="5">
        <v>1.32258851817708</v>
      </c>
      <c r="J50" s="5">
        <v>1.4667228299458499</v>
      </c>
    </row>
    <row r="51" spans="1:10" x14ac:dyDescent="0.25">
      <c r="A51" s="3">
        <v>49</v>
      </c>
      <c r="B51" s="4">
        <v>54.707257999999996</v>
      </c>
      <c r="C51" s="4">
        <f t="shared" si="3"/>
        <v>-14.215635186514533</v>
      </c>
      <c r="D51" s="4">
        <f t="shared" si="2"/>
        <v>662.08160020228195</v>
      </c>
      <c r="E51" s="5">
        <v>1.38074755937194</v>
      </c>
      <c r="F51" s="5">
        <v>1.4971389348172499</v>
      </c>
      <c r="G51" s="5">
        <v>1.61599351108291</v>
      </c>
      <c r="H51" s="5">
        <v>1.1764179668363299</v>
      </c>
      <c r="I51" s="5">
        <v>1.3167876882290901</v>
      </c>
      <c r="J51" s="5">
        <v>1.4599164027966001</v>
      </c>
    </row>
    <row r="52" spans="1:10" x14ac:dyDescent="0.25">
      <c r="A52" s="3">
        <v>50</v>
      </c>
      <c r="B52" s="4">
        <v>54.707257999999996</v>
      </c>
      <c r="C52" s="4">
        <f t="shared" si="3"/>
        <v>-16.215635186514533</v>
      </c>
      <c r="D52" s="4">
        <f t="shared" si="2"/>
        <v>632.08160020228195</v>
      </c>
      <c r="E52" s="5">
        <v>1.37016918738685</v>
      </c>
      <c r="F52" s="5">
        <v>1.4855403398404801</v>
      </c>
      <c r="G52" s="5">
        <v>1.6042916550133599</v>
      </c>
      <c r="H52" s="5">
        <v>1.17250801498361</v>
      </c>
      <c r="I52" s="5">
        <v>1.31207801829555</v>
      </c>
      <c r="J52" s="5">
        <v>1.45425316134343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2DE1-C104-4E53-9B03-CEC9DC9FDCFA}">
  <dimension ref="A1:Y6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40625" style="17" bestFit="1" customWidth="1"/>
    <col min="2" max="2" width="27.5703125" style="17" bestFit="1" customWidth="1"/>
    <col min="3" max="3" width="15.42578125" style="17" bestFit="1" customWidth="1"/>
    <col min="4" max="4" width="14.85546875" style="17" bestFit="1" customWidth="1"/>
    <col min="5" max="5" width="13.28515625" style="17" customWidth="1"/>
    <col min="6" max="6" width="9.5703125" style="17" bestFit="1" customWidth="1"/>
    <col min="7" max="9" width="13.28515625" style="17" customWidth="1"/>
    <col min="10" max="12" width="12.140625" style="17" customWidth="1"/>
    <col min="13" max="23" width="13.7109375" style="17" customWidth="1"/>
    <col min="24" max="16384" width="9.140625" style="17"/>
  </cols>
  <sheetData>
    <row r="1" spans="1:23" s="2" customFormat="1" ht="60" x14ac:dyDescent="0.25">
      <c r="A1" s="2" t="s">
        <v>57</v>
      </c>
      <c r="B1" s="2" t="s">
        <v>64</v>
      </c>
      <c r="C1" s="2" t="s">
        <v>164</v>
      </c>
      <c r="D1" s="6" t="s">
        <v>266</v>
      </c>
      <c r="E1" s="6" t="s">
        <v>265</v>
      </c>
      <c r="F1" s="6" t="s">
        <v>184</v>
      </c>
      <c r="G1" s="6" t="s">
        <v>264</v>
      </c>
      <c r="H1" s="6" t="s">
        <v>263</v>
      </c>
      <c r="I1" s="6" t="s">
        <v>262</v>
      </c>
      <c r="J1" s="6" t="s">
        <v>261</v>
      </c>
      <c r="K1" s="6" t="s">
        <v>260</v>
      </c>
      <c r="L1" s="6" t="s">
        <v>259</v>
      </c>
      <c r="M1" s="6" t="s">
        <v>258</v>
      </c>
      <c r="N1" s="6" t="s">
        <v>257</v>
      </c>
      <c r="O1" s="6" t="s">
        <v>256</v>
      </c>
      <c r="P1" s="6" t="s">
        <v>255</v>
      </c>
      <c r="Q1" s="6" t="s">
        <v>254</v>
      </c>
      <c r="R1" s="6" t="s">
        <v>253</v>
      </c>
      <c r="S1" s="6" t="s">
        <v>252</v>
      </c>
      <c r="T1" s="6" t="s">
        <v>251</v>
      </c>
      <c r="U1" s="6" t="s">
        <v>250</v>
      </c>
      <c r="V1" s="6" t="s">
        <v>249</v>
      </c>
      <c r="W1" s="6" t="s">
        <v>248</v>
      </c>
    </row>
    <row r="2" spans="1:23" s="17" customFormat="1" x14ac:dyDescent="0.25">
      <c r="A2" s="17" t="s">
        <v>239</v>
      </c>
      <c r="B2" s="17" t="s">
        <v>247</v>
      </c>
      <c r="C2" s="17" t="s">
        <v>237</v>
      </c>
      <c r="D2" s="47">
        <v>0</v>
      </c>
      <c r="E2" s="48">
        <f>D2/Fig2Fig3Context!$F$6</f>
        <v>0</v>
      </c>
      <c r="F2" s="47" t="s">
        <v>205</v>
      </c>
      <c r="G2" s="49">
        <f>AVERAGE(M2:P2)</f>
        <v>1957.0387500000002</v>
      </c>
      <c r="H2" s="49">
        <f>MAX(M2:P2)</f>
        <v>2061.3690000000001</v>
      </c>
      <c r="I2" s="49">
        <f>MIN(M2:P2)</f>
        <v>1812.2550000000001</v>
      </c>
      <c r="J2" s="50">
        <f>AVERAGE(Q2:T2)</f>
        <v>4.5478124132952477E-2</v>
      </c>
      <c r="K2" s="50">
        <f>MAX(Q2:T2)</f>
        <v>5.9913561716770806E-2</v>
      </c>
      <c r="L2" s="50">
        <f>MIN(Q2:T2)</f>
        <v>2.9411389968340289E-2</v>
      </c>
      <c r="M2" s="49">
        <v>1957.048</v>
      </c>
      <c r="N2" s="49">
        <v>1997.4829999999999</v>
      </c>
      <c r="O2" s="49">
        <v>1812.2550000000001</v>
      </c>
      <c r="P2" s="49">
        <v>2061.3690000000001</v>
      </c>
      <c r="Q2" s="51">
        <f>M2/Fig2Fig3Context!F$41</f>
        <v>4.4646882143188571E-2</v>
      </c>
      <c r="R2" s="51">
        <f>N2/Fig2Fig3Context!G$41</f>
        <v>4.7940662703510231E-2</v>
      </c>
      <c r="S2" s="51">
        <f>O2/Fig2Fig3Context!H$41</f>
        <v>2.9411389968340289E-2</v>
      </c>
      <c r="T2" s="51">
        <f>P2/Fig2Fig3Context!I$41</f>
        <v>5.9913561716770806E-2</v>
      </c>
      <c r="U2" s="47" t="s">
        <v>71</v>
      </c>
      <c r="V2" s="47" t="s">
        <v>71</v>
      </c>
      <c r="W2" s="47" t="s">
        <v>71</v>
      </c>
    </row>
    <row r="3" spans="1:23" s="17" customFormat="1" x14ac:dyDescent="0.25">
      <c r="A3" s="17" t="s">
        <v>239</v>
      </c>
      <c r="B3" s="17" t="s">
        <v>246</v>
      </c>
      <c r="C3" s="17" t="s">
        <v>237</v>
      </c>
      <c r="D3" s="47">
        <v>0</v>
      </c>
      <c r="E3" s="48">
        <f>D3/Fig2Fig3Context!$F$6</f>
        <v>0</v>
      </c>
      <c r="F3" s="47" t="s">
        <v>205</v>
      </c>
      <c r="G3" s="49">
        <f>AVERAGE(M3:P3)</f>
        <v>1573.4222499999998</v>
      </c>
      <c r="H3" s="49">
        <f>MAX(M3:P3)</f>
        <v>1640.7539999999999</v>
      </c>
      <c r="I3" s="49">
        <f>MIN(M3:P3)</f>
        <v>1478.94</v>
      </c>
      <c r="J3" s="50">
        <f>AVERAGE(Q3:T3)</f>
        <v>3.6499852422391878E-2</v>
      </c>
      <c r="K3" s="50">
        <f>MAX(Q3:T3)</f>
        <v>4.7688412914445956E-2</v>
      </c>
      <c r="L3" s="50">
        <f>MIN(Q3:T3)</f>
        <v>2.4001964999283868E-2</v>
      </c>
      <c r="M3" s="49">
        <v>1573.973</v>
      </c>
      <c r="N3" s="49">
        <v>1600.0219999999999</v>
      </c>
      <c r="O3" s="49">
        <v>1478.94</v>
      </c>
      <c r="P3" s="49">
        <v>1640.7539999999999</v>
      </c>
      <c r="Q3" s="51">
        <f>M3/Fig2Fig3Context!F$41</f>
        <v>3.5907646121894274E-2</v>
      </c>
      <c r="R3" s="51">
        <f>N3/Fig2Fig3Context!G$41</f>
        <v>3.840138565394341E-2</v>
      </c>
      <c r="S3" s="51">
        <f>O3/Fig2Fig3Context!H$41</f>
        <v>2.4001964999283868E-2</v>
      </c>
      <c r="T3" s="51">
        <f>P3/Fig2Fig3Context!I$41</f>
        <v>4.7688412914445956E-2</v>
      </c>
      <c r="U3" s="47" t="s">
        <v>71</v>
      </c>
      <c r="V3" s="47" t="s">
        <v>71</v>
      </c>
      <c r="W3" s="47" t="s">
        <v>71</v>
      </c>
    </row>
    <row r="4" spans="1:23" s="17" customFormat="1" x14ac:dyDescent="0.25">
      <c r="A4" s="17" t="s">
        <v>239</v>
      </c>
      <c r="B4" s="17" t="s">
        <v>245</v>
      </c>
      <c r="C4" s="17" t="s">
        <v>237</v>
      </c>
      <c r="D4" s="47">
        <v>0</v>
      </c>
      <c r="E4" s="48">
        <f>D4/Fig2Fig3Context!$F$6</f>
        <v>0</v>
      </c>
      <c r="F4" s="47" t="s">
        <v>205</v>
      </c>
      <c r="G4" s="49">
        <f>AVERAGE(M4:P4)</f>
        <v>2867.1449009118028</v>
      </c>
      <c r="H4" s="49">
        <f>MAX(M4:P4)</f>
        <v>2892.9206476445202</v>
      </c>
      <c r="I4" s="49">
        <f>MIN(M4:P4)</f>
        <v>2858.5529847508401</v>
      </c>
      <c r="J4" s="50">
        <f>AVERAGE(Q4:T4)</f>
        <v>6.5963355351944933E-2</v>
      </c>
      <c r="K4" s="50">
        <f>MAX(Q4:T4)</f>
        <v>8.308366462895718E-2</v>
      </c>
      <c r="L4" s="50">
        <f>MIN(Q4:T4)</f>
        <v>4.694969378775974E-2</v>
      </c>
      <c r="M4" s="49">
        <v>2858.5529858323098</v>
      </c>
      <c r="N4" s="49">
        <v>2858.5529854195402</v>
      </c>
      <c r="O4" s="49">
        <v>2892.9206476445202</v>
      </c>
      <c r="P4" s="49">
        <v>2858.5529847508401</v>
      </c>
      <c r="Q4" s="51">
        <f>M4/Fig2Fig3Context!F$41</f>
        <v>6.5213259081287181E-2</v>
      </c>
      <c r="R4" s="51">
        <f>N4/Fig2Fig3Context!G$41</f>
        <v>6.8606803909775638E-2</v>
      </c>
      <c r="S4" s="51">
        <f>O4/Fig2Fig3Context!H$41</f>
        <v>4.694969378775974E-2</v>
      </c>
      <c r="T4" s="51">
        <f>P4/Fig2Fig3Context!I$41</f>
        <v>8.308366462895718E-2</v>
      </c>
      <c r="U4" s="47" t="s">
        <v>71</v>
      </c>
      <c r="V4" s="47" t="s">
        <v>71</v>
      </c>
      <c r="W4" s="47" t="s">
        <v>71</v>
      </c>
    </row>
    <row r="5" spans="1:23" s="17" customFormat="1" x14ac:dyDescent="0.25">
      <c r="A5" s="17" t="s">
        <v>239</v>
      </c>
      <c r="B5" s="17" t="s">
        <v>244</v>
      </c>
      <c r="C5" s="17" t="s">
        <v>237</v>
      </c>
      <c r="D5" s="49">
        <v>2503.88</v>
      </c>
      <c r="E5" s="48">
        <f>D5/Fig2Fig3Context!$F$6</f>
        <v>8.0992843887545227E-2</v>
      </c>
      <c r="F5" s="47">
        <v>1</v>
      </c>
      <c r="G5" s="49">
        <f>AVERAGE(M5:P5)</f>
        <v>2836.0816082951724</v>
      </c>
      <c r="H5" s="49">
        <f>MAX(M5:P5)</f>
        <v>3055.9501099324102</v>
      </c>
      <c r="I5" s="49">
        <f>MIN(M5:P5)</f>
        <v>2538.6210134628</v>
      </c>
      <c r="J5" s="50">
        <f>AVERAGE(Q5:T5)</f>
        <v>6.6163930889303071E-2</v>
      </c>
      <c r="K5" s="50">
        <f>MAX(Q5:T5)</f>
        <v>8.8820999789367153E-2</v>
      </c>
      <c r="L5" s="50">
        <f>MIN(Q5:T5)</f>
        <v>4.1199705675403105E-2</v>
      </c>
      <c r="M5" s="49">
        <v>2832.14238106625</v>
      </c>
      <c r="N5" s="49">
        <v>2917.6129287192298</v>
      </c>
      <c r="O5" s="49">
        <v>2538.6210134628</v>
      </c>
      <c r="P5" s="49">
        <v>3055.9501099324102</v>
      </c>
      <c r="Q5" s="51">
        <f>M5/Fig2Fig3Context!F$41</f>
        <v>6.4610743885788344E-2</v>
      </c>
      <c r="R5" s="51">
        <f>N5/Fig2Fig3Context!G$41</f>
        <v>7.0024274206653692E-2</v>
      </c>
      <c r="S5" s="51">
        <f>O5/Fig2Fig3Context!H$41</f>
        <v>4.1199705675403105E-2</v>
      </c>
      <c r="T5" s="51">
        <f>P5/Fig2Fig3Context!I$41</f>
        <v>8.8820999789367153E-2</v>
      </c>
      <c r="U5" s="47" t="s">
        <v>71</v>
      </c>
      <c r="V5" s="47" t="s">
        <v>71</v>
      </c>
      <c r="W5" s="47" t="s">
        <v>71</v>
      </c>
    </row>
    <row r="6" spans="1:23" s="17" customFormat="1" x14ac:dyDescent="0.25">
      <c r="A6" s="17" t="s">
        <v>239</v>
      </c>
      <c r="B6" s="17" t="s">
        <v>243</v>
      </c>
      <c r="C6" s="17" t="s">
        <v>237</v>
      </c>
      <c r="D6" s="49">
        <v>2129.12</v>
      </c>
      <c r="E6" s="48">
        <f>D6/Fig2Fig3Context!$F$6</f>
        <v>6.8870506485075283E-2</v>
      </c>
      <c r="F6" s="47">
        <v>1</v>
      </c>
      <c r="G6" s="49">
        <f>AVERAGE(M6:P6)</f>
        <v>2836.0816082951724</v>
      </c>
      <c r="H6" s="49">
        <f>MAX(M6:P6)</f>
        <v>3055.9501099324102</v>
      </c>
      <c r="I6" s="49">
        <f>MIN(M6:P6)</f>
        <v>2538.6210134628</v>
      </c>
      <c r="J6" s="50">
        <f>AVERAGE(Q6:T6)</f>
        <v>6.6163930889303071E-2</v>
      </c>
      <c r="K6" s="50">
        <f>MAX(Q6:T6)</f>
        <v>8.8820999789367153E-2</v>
      </c>
      <c r="L6" s="50">
        <f>MIN(Q6:T6)</f>
        <v>4.1199705675403105E-2</v>
      </c>
      <c r="M6" s="49">
        <v>2832.14238106625</v>
      </c>
      <c r="N6" s="49">
        <v>2917.6129287192298</v>
      </c>
      <c r="O6" s="49">
        <v>2538.6210134628</v>
      </c>
      <c r="P6" s="49">
        <v>3055.9501099324102</v>
      </c>
      <c r="Q6" s="51">
        <f>M6/Fig2Fig3Context!F$41</f>
        <v>6.4610743885788344E-2</v>
      </c>
      <c r="R6" s="51">
        <f>N6/Fig2Fig3Context!G$41</f>
        <v>7.0024274206653692E-2</v>
      </c>
      <c r="S6" s="51">
        <f>O6/Fig2Fig3Context!H$41</f>
        <v>4.1199705675403105E-2</v>
      </c>
      <c r="T6" s="51">
        <f>P6/Fig2Fig3Context!I$41</f>
        <v>8.8820999789367153E-2</v>
      </c>
      <c r="U6" s="47" t="s">
        <v>71</v>
      </c>
      <c r="V6" s="47" t="s">
        <v>71</v>
      </c>
      <c r="W6" s="47" t="s">
        <v>71</v>
      </c>
    </row>
    <row r="7" spans="1:23" s="17" customFormat="1" x14ac:dyDescent="0.25">
      <c r="A7" s="17" t="s">
        <v>239</v>
      </c>
      <c r="B7" s="17" t="s">
        <v>242</v>
      </c>
      <c r="C7" s="17" t="s">
        <v>237</v>
      </c>
      <c r="D7" s="49">
        <v>2777.65</v>
      </c>
      <c r="E7" s="48">
        <f>D7/Fig2Fig3Context!$F$6</f>
        <v>8.9848464313082105E-2</v>
      </c>
      <c r="F7" s="47">
        <v>1</v>
      </c>
      <c r="G7" s="49">
        <f>AVERAGE(M7:P7)</f>
        <v>2836.0816082951724</v>
      </c>
      <c r="H7" s="49">
        <f>MAX(M7:P7)</f>
        <v>3055.9501099324102</v>
      </c>
      <c r="I7" s="49">
        <f>MIN(M7:P7)</f>
        <v>2538.6210134628</v>
      </c>
      <c r="J7" s="50">
        <f>AVERAGE(Q7:T7)</f>
        <v>6.6163930889303071E-2</v>
      </c>
      <c r="K7" s="50">
        <f>MAX(Q7:T7)</f>
        <v>8.8820999789367153E-2</v>
      </c>
      <c r="L7" s="50">
        <f>MIN(Q7:T7)</f>
        <v>4.1199705675403105E-2</v>
      </c>
      <c r="M7" s="49">
        <v>2832.14238106625</v>
      </c>
      <c r="N7" s="49">
        <v>2917.6129287192298</v>
      </c>
      <c r="O7" s="49">
        <v>2538.6210134628</v>
      </c>
      <c r="P7" s="49">
        <v>3055.9501099324102</v>
      </c>
      <c r="Q7" s="51">
        <f>M7/Fig2Fig3Context!F$41</f>
        <v>6.4610743885788344E-2</v>
      </c>
      <c r="R7" s="51">
        <f>N7/Fig2Fig3Context!G$41</f>
        <v>7.0024274206653692E-2</v>
      </c>
      <c r="S7" s="51">
        <f>O7/Fig2Fig3Context!H$41</f>
        <v>4.1199705675403105E-2</v>
      </c>
      <c r="T7" s="51">
        <f>P7/Fig2Fig3Context!I$41</f>
        <v>8.8820999789367153E-2</v>
      </c>
      <c r="U7" s="47" t="s">
        <v>71</v>
      </c>
      <c r="V7" s="47" t="s">
        <v>71</v>
      </c>
      <c r="W7" s="47" t="s">
        <v>71</v>
      </c>
    </row>
    <row r="8" spans="1:23" s="17" customFormat="1" x14ac:dyDescent="0.25">
      <c r="A8" s="17" t="s">
        <v>239</v>
      </c>
      <c r="B8" s="17" t="s">
        <v>241</v>
      </c>
      <c r="C8" s="17" t="s">
        <v>240</v>
      </c>
      <c r="D8" s="49">
        <v>6891.22</v>
      </c>
      <c r="E8" s="48">
        <f>D8/Fig2Fig3Context!$F$6</f>
        <v>0.22290984618061946</v>
      </c>
      <c r="F8" s="47">
        <v>1</v>
      </c>
      <c r="G8" s="49">
        <f>AVERAGE(M8:P8)</f>
        <v>4117.161748457147</v>
      </c>
      <c r="H8" s="49">
        <f>MAX(M8:P8)</f>
        <v>4153.3085347241804</v>
      </c>
      <c r="I8" s="49">
        <f>MIN(M8:P8)</f>
        <v>4105.11281772855</v>
      </c>
      <c r="J8" s="50">
        <f>AVERAGE(Q8:T8)</f>
        <v>9.4724000132910283E-2</v>
      </c>
      <c r="K8" s="50">
        <f>MAX(Q8:T8)</f>
        <v>0.11931484860754497</v>
      </c>
      <c r="L8" s="50">
        <f>MIN(Q8:T8)</f>
        <v>6.7404739936492861E-2</v>
      </c>
      <c r="M8" s="49">
        <v>4105.11281975765</v>
      </c>
      <c r="N8" s="49">
        <v>4105.1128216182096</v>
      </c>
      <c r="O8" s="49">
        <v>4153.3085347241804</v>
      </c>
      <c r="P8" s="49">
        <v>4105.11281772855</v>
      </c>
      <c r="Q8" s="51">
        <f>M8/Fig2Fig3Context!F$41</f>
        <v>9.3651503820147641E-2</v>
      </c>
      <c r="R8" s="51">
        <f>N8/Fig2Fig3Context!G$41</f>
        <v>9.8524908167455613E-2</v>
      </c>
      <c r="S8" s="51">
        <f>O8/Fig2Fig3Context!H$41</f>
        <v>6.7404739936492861E-2</v>
      </c>
      <c r="T8" s="51">
        <f>P8/Fig2Fig3Context!I$41</f>
        <v>0.11931484860754497</v>
      </c>
      <c r="U8" s="47" t="s">
        <v>71</v>
      </c>
      <c r="V8" s="47" t="s">
        <v>71</v>
      </c>
      <c r="W8" s="47" t="s">
        <v>71</v>
      </c>
    </row>
    <row r="9" spans="1:23" s="17" customFormat="1" x14ac:dyDescent="0.25">
      <c r="A9" s="17" t="s">
        <v>239</v>
      </c>
      <c r="B9" s="17" t="s">
        <v>238</v>
      </c>
      <c r="C9" s="17" t="s">
        <v>237</v>
      </c>
      <c r="D9" s="47">
        <v>0</v>
      </c>
      <c r="E9" s="48">
        <f>D9/Fig2Fig3Context!$F$6</f>
        <v>0</v>
      </c>
      <c r="F9" s="47" t="s">
        <v>205</v>
      </c>
      <c r="G9" s="49">
        <f>AVERAGE(M9:P9)</f>
        <v>7079.9994819587055</v>
      </c>
      <c r="H9" s="49">
        <f>MAX(M9:P9)</f>
        <v>7157.53702501927</v>
      </c>
      <c r="I9" s="49">
        <f>MIN(M9:P9)</f>
        <v>7054.1536335278097</v>
      </c>
      <c r="J9" s="50">
        <f>AVERAGE(Q9:T9)</f>
        <v>0.16285549211444578</v>
      </c>
      <c r="K9" s="50">
        <f>MAX(Q9:T9)</f>
        <v>0.20502853644772775</v>
      </c>
      <c r="L9" s="50">
        <f>MIN(Q9:T9)</f>
        <v>0.11616086734795929</v>
      </c>
      <c r="M9" s="49">
        <v>7054.1536335278097</v>
      </c>
      <c r="N9" s="49">
        <v>7054.1536346455796</v>
      </c>
      <c r="O9" s="49">
        <v>7157.53702501927</v>
      </c>
      <c r="P9" s="49">
        <v>7054.1536346421599</v>
      </c>
      <c r="Q9" s="48">
        <f>M9/Fig2Fig3Context!F$41</f>
        <v>0.1609290962184175</v>
      </c>
      <c r="R9" s="48">
        <f>N9/Fig2Fig3Context!G$41</f>
        <v>0.16930346844367861</v>
      </c>
      <c r="S9" s="48">
        <f>O9/Fig2Fig3Context!H$41</f>
        <v>0.11616086734795929</v>
      </c>
      <c r="T9" s="48">
        <f>P9/Fig2Fig3Context!I$41</f>
        <v>0.20502853644772775</v>
      </c>
      <c r="U9" s="47" t="s">
        <v>71</v>
      </c>
      <c r="V9" s="47" t="s">
        <v>71</v>
      </c>
      <c r="W9" s="47" t="s">
        <v>71</v>
      </c>
    </row>
    <row r="10" spans="1:23" s="17" customFormat="1" x14ac:dyDescent="0.25">
      <c r="A10" s="17" t="s">
        <v>12</v>
      </c>
      <c r="B10" s="17" t="s">
        <v>236</v>
      </c>
      <c r="C10" s="17" t="s">
        <v>156</v>
      </c>
      <c r="D10" s="52">
        <v>8.3505000000000003</v>
      </c>
      <c r="E10" s="48">
        <f>D10/Fig2Fig3Context!$F$8</f>
        <v>0.12017535569847414</v>
      </c>
      <c r="F10" s="47">
        <v>3</v>
      </c>
      <c r="G10" s="52">
        <f>AVERAGE(M10:P10)</f>
        <v>18.681767499999999</v>
      </c>
      <c r="H10" s="52">
        <f>MAX(M10:P10)</f>
        <v>19.76079</v>
      </c>
      <c r="I10" s="52">
        <f>MIN(M10:P10)</f>
        <v>17.429490000000001</v>
      </c>
      <c r="J10" s="50">
        <f>AVERAGE(Q10:T10)</f>
        <v>0.16947323418653204</v>
      </c>
      <c r="K10" s="50">
        <f>MAX(Q10:T10)</f>
        <v>0.18863244669799292</v>
      </c>
      <c r="L10" s="50">
        <f>MIN(Q10:T10)</f>
        <v>0.14140586246618525</v>
      </c>
      <c r="M10" s="52">
        <v>18.892589999999998</v>
      </c>
      <c r="N10" s="52">
        <v>19.76079</v>
      </c>
      <c r="O10" s="52">
        <v>17.429490000000001</v>
      </c>
      <c r="P10" s="52">
        <v>18.644200000000001</v>
      </c>
      <c r="Q10" s="48">
        <f>M10/Fig2Fig3Context!F$42</f>
        <v>0.1803447876406781</v>
      </c>
      <c r="R10" s="48">
        <f>N10/Fig2Fig3Context!G$42</f>
        <v>0.18863244669799292</v>
      </c>
      <c r="S10" s="48">
        <f>O10/Fig2Fig3Context!H$42</f>
        <v>0.14140586246618525</v>
      </c>
      <c r="T10" s="48">
        <f>P10/Fig2Fig3Context!I$42</f>
        <v>0.16750983994127186</v>
      </c>
      <c r="U10" s="47" t="s">
        <v>71</v>
      </c>
      <c r="V10" s="47" t="s">
        <v>71</v>
      </c>
      <c r="W10" s="47" t="s">
        <v>71</v>
      </c>
    </row>
    <row r="11" spans="1:23" s="17" customFormat="1" x14ac:dyDescent="0.25">
      <c r="A11" s="17" t="s">
        <v>12</v>
      </c>
      <c r="B11" s="17" t="s">
        <v>235</v>
      </c>
      <c r="C11" s="17" t="s">
        <v>156</v>
      </c>
      <c r="D11" s="52">
        <f>58000000*1.65*14825/1000000000000</f>
        <v>1.4187525000000001</v>
      </c>
      <c r="E11" s="48">
        <f>D11/Fig2Fig3Context!$F$8</f>
        <v>2.0417829631231593E-2</v>
      </c>
      <c r="F11" s="47">
        <v>10</v>
      </c>
      <c r="G11" s="52">
        <f>AVERAGE(M11:P11)</f>
        <v>19.010424999999998</v>
      </c>
      <c r="H11" s="52">
        <f>MAX(M11:P11)</f>
        <v>20.128129999999999</v>
      </c>
      <c r="I11" s="52">
        <f>MIN(M11:P11)</f>
        <v>17.714639999999999</v>
      </c>
      <c r="J11" s="50">
        <f>AVERAGE(Q11:T11)</f>
        <v>0.17246256031456719</v>
      </c>
      <c r="K11" s="50">
        <f>MAX(Q11:T11)</f>
        <v>0.1921389989648831</v>
      </c>
      <c r="L11" s="50">
        <f>MIN(Q11:T11)</f>
        <v>0.14371929112544221</v>
      </c>
      <c r="M11" s="52">
        <v>19.228079999999999</v>
      </c>
      <c r="N11" s="52">
        <v>20.128129999999999</v>
      </c>
      <c r="O11" s="52">
        <v>17.714639999999999</v>
      </c>
      <c r="P11" s="52">
        <v>18.970849999999999</v>
      </c>
      <c r="Q11" s="48">
        <f>M11/Fig2Fig3Context!F$42</f>
        <v>0.18354730634274971</v>
      </c>
      <c r="R11" s="48">
        <f>N11/Fig2Fig3Context!G$42</f>
        <v>0.1921389989648831</v>
      </c>
      <c r="S11" s="48">
        <f>O11/Fig2Fig3Context!H$42</f>
        <v>0.14371929112544221</v>
      </c>
      <c r="T11" s="48">
        <f>P11/Fig2Fig3Context!I$42</f>
        <v>0.17044464482519373</v>
      </c>
      <c r="U11" s="47" t="s">
        <v>71</v>
      </c>
      <c r="V11" s="47" t="s">
        <v>71</v>
      </c>
      <c r="W11" s="47" t="s">
        <v>71</v>
      </c>
    </row>
    <row r="12" spans="1:23" s="17" customFormat="1" x14ac:dyDescent="0.25">
      <c r="A12" s="17" t="s">
        <v>12</v>
      </c>
      <c r="B12" s="17" t="s">
        <v>234</v>
      </c>
      <c r="C12" s="17" t="s">
        <v>156</v>
      </c>
      <c r="D12" s="52">
        <f>0.1057 * 5.86 / 0.664 * 1.65</f>
        <v>1.5391766566265059</v>
      </c>
      <c r="E12" s="48">
        <f>D12/Fig2Fig3Context!$F$8</f>
        <v>2.2150901406248553E-2</v>
      </c>
      <c r="F12" s="47">
        <v>11</v>
      </c>
      <c r="G12" s="52">
        <f>AVERAGE(M12:P12)</f>
        <v>19.994799999999998</v>
      </c>
      <c r="H12" s="52">
        <f>MAX(M12:P12)</f>
        <v>21.152259999999998</v>
      </c>
      <c r="I12" s="52">
        <f>MIN(M12:P12)</f>
        <v>18.65372</v>
      </c>
      <c r="J12" s="50">
        <f>AVERAGE(Q12:T12)</f>
        <v>0.18138469942480542</v>
      </c>
      <c r="K12" s="50">
        <f>MAX(Q12:T12)</f>
        <v>0.20191513380750908</v>
      </c>
      <c r="L12" s="50">
        <f>MIN(Q12:T12)</f>
        <v>0.15133806926093241</v>
      </c>
      <c r="M12" s="52">
        <v>20.2179</v>
      </c>
      <c r="N12" s="52">
        <v>21.152259999999998</v>
      </c>
      <c r="O12" s="52">
        <v>18.65372</v>
      </c>
      <c r="P12" s="52">
        <v>19.95532</v>
      </c>
      <c r="Q12" s="48">
        <f>M12/Fig2Fig3Context!F$42</f>
        <v>0.19299592496531529</v>
      </c>
      <c r="R12" s="48">
        <f>N12/Fig2Fig3Context!G$42</f>
        <v>0.20191513380750908</v>
      </c>
      <c r="S12" s="48">
        <f>O12/Fig2Fig3Context!H$42</f>
        <v>0.15133806926093241</v>
      </c>
      <c r="T12" s="48">
        <f>P12/Fig2Fig3Context!I$42</f>
        <v>0.17928966966546492</v>
      </c>
      <c r="U12" s="47" t="s">
        <v>71</v>
      </c>
      <c r="V12" s="47" t="s">
        <v>71</v>
      </c>
      <c r="W12" s="47" t="s">
        <v>71</v>
      </c>
    </row>
    <row r="13" spans="1:23" s="17" customFormat="1" x14ac:dyDescent="0.25">
      <c r="A13" s="17" t="s">
        <v>12</v>
      </c>
      <c r="B13" s="17" t="s">
        <v>233</v>
      </c>
      <c r="C13" s="17" t="s">
        <v>156</v>
      </c>
      <c r="D13" s="52">
        <v>22.3948384729262</v>
      </c>
      <c r="E13" s="48">
        <f>D13/Fig2Fig3Context!$F$8</f>
        <v>0.32229299793949817</v>
      </c>
      <c r="F13" s="47">
        <v>3</v>
      </c>
      <c r="G13" s="52">
        <f>AVERAGE(M13:P13)</f>
        <v>21.327185</v>
      </c>
      <c r="H13" s="52">
        <f>MAX(M13:P13)</f>
        <v>22.737269999999999</v>
      </c>
      <c r="I13" s="52">
        <f>MIN(M13:P13)</f>
        <v>19.704660000000001</v>
      </c>
      <c r="J13" s="50">
        <f>AVERAGE(Q13:T13)</f>
        <v>0.19354226934140906</v>
      </c>
      <c r="K13" s="50">
        <f>MAX(Q13:T13)</f>
        <v>0.21704531404528227</v>
      </c>
      <c r="L13" s="50">
        <f>MIN(Q13:T13)</f>
        <v>0.15986437020836189</v>
      </c>
      <c r="M13" s="52">
        <v>21.595369999999999</v>
      </c>
      <c r="N13" s="52">
        <v>22.737269999999999</v>
      </c>
      <c r="O13" s="52">
        <v>19.704660000000001</v>
      </c>
      <c r="P13" s="52">
        <v>21.271439999999998</v>
      </c>
      <c r="Q13" s="48">
        <f>M13/Fig2Fig3Context!F$42</f>
        <v>0.20614497094743869</v>
      </c>
      <c r="R13" s="48">
        <f>N13/Fig2Fig3Context!G$42</f>
        <v>0.21704531404528227</v>
      </c>
      <c r="S13" s="48">
        <f>O13/Fig2Fig3Context!H$42</f>
        <v>0.15986437020836189</v>
      </c>
      <c r="T13" s="48">
        <f>P13/Fig2Fig3Context!I$42</f>
        <v>0.19111442216455343</v>
      </c>
      <c r="U13" s="47" t="s">
        <v>71</v>
      </c>
      <c r="V13" s="47" t="s">
        <v>71</v>
      </c>
      <c r="W13" s="47" t="s">
        <v>71</v>
      </c>
    </row>
    <row r="14" spans="1:23" s="17" customFormat="1" ht="18" x14ac:dyDescent="0.35">
      <c r="A14" s="17" t="s">
        <v>12</v>
      </c>
      <c r="B14" s="17" t="s">
        <v>232</v>
      </c>
      <c r="C14" s="17" t="s">
        <v>290</v>
      </c>
      <c r="D14" s="52">
        <v>4.1939755324574808</v>
      </c>
      <c r="E14" s="47" t="s">
        <v>71</v>
      </c>
      <c r="F14" s="47">
        <v>3</v>
      </c>
      <c r="G14" s="52">
        <f>AVERAGE(M14:P14)</f>
        <v>-2</v>
      </c>
      <c r="H14" s="52">
        <f>MAX(M14:P14)</f>
        <v>-2</v>
      </c>
      <c r="I14" s="52">
        <f>MIN(M14:P14)</f>
        <v>-2</v>
      </c>
      <c r="J14" s="50">
        <f>AVERAGE(Q14:T14)</f>
        <v>-0.36152696552073943</v>
      </c>
      <c r="K14" s="50">
        <f>MAX(Q14:T14)</f>
        <v>-0.28544254441200551</v>
      </c>
      <c r="L14" s="50">
        <f>MIN(Q14:T14)</f>
        <v>-0.434785727810656</v>
      </c>
      <c r="M14" s="52">
        <v>-2</v>
      </c>
      <c r="N14" s="52">
        <v>-2</v>
      </c>
      <c r="O14" s="52">
        <v>-2</v>
      </c>
      <c r="P14" s="52">
        <v>-2</v>
      </c>
      <c r="Q14" s="48">
        <f>M14/Fig2Fig3Context!F$48</f>
        <v>-0.38104332329220669</v>
      </c>
      <c r="R14" s="48">
        <f>N14/Fig2Fig3Context!G$48</f>
        <v>-0.434785727810656</v>
      </c>
      <c r="S14" s="48">
        <f>O14/Fig2Fig3Context!H$48</f>
        <v>-0.28544254441200551</v>
      </c>
      <c r="T14" s="48">
        <f>P14/Fig2Fig3Context!I$48</f>
        <v>-0.34483626656808947</v>
      </c>
      <c r="U14" s="47" t="s">
        <v>71</v>
      </c>
      <c r="V14" s="47" t="s">
        <v>71</v>
      </c>
      <c r="W14" s="47" t="s">
        <v>71</v>
      </c>
    </row>
    <row r="15" spans="1:23" s="17" customFormat="1" x14ac:dyDescent="0.25">
      <c r="A15" s="17" t="s">
        <v>12</v>
      </c>
      <c r="B15" s="17" t="s">
        <v>231</v>
      </c>
      <c r="C15" s="17" t="s">
        <v>156</v>
      </c>
      <c r="D15" s="52">
        <v>7.0380769863212302</v>
      </c>
      <c r="E15" s="47" t="s">
        <v>71</v>
      </c>
      <c r="F15" s="47">
        <v>3</v>
      </c>
      <c r="G15" s="52">
        <f>AVERAGE(M15:P15)</f>
        <v>-10.529271250000001</v>
      </c>
      <c r="H15" s="52">
        <f>MAX(M15:P15)</f>
        <v>-9.6332950000000004</v>
      </c>
      <c r="I15" s="52">
        <f>MIN(M15:P15)</f>
        <v>-11.285500000000001</v>
      </c>
      <c r="J15" s="50">
        <f>AVERAGE(Q15:T15)</f>
        <v>-0.70303820595718192</v>
      </c>
      <c r="K15" s="50">
        <f>MAX(Q15:T15)</f>
        <v>-0.37194189189189192</v>
      </c>
      <c r="L15" s="50">
        <f>MIN(Q15:T15)</f>
        <v>-0.97121342512908793</v>
      </c>
      <c r="M15" s="52">
        <v>-10.773999999999999</v>
      </c>
      <c r="N15" s="52">
        <v>-11.285500000000001</v>
      </c>
      <c r="O15" s="52">
        <v>-9.6332950000000004</v>
      </c>
      <c r="P15" s="52">
        <v>-10.424289999999999</v>
      </c>
      <c r="Q15" s="48">
        <f>M15/Fig2Fig3Context!F$43</f>
        <v>-0.92719449225473316</v>
      </c>
      <c r="R15" s="48">
        <f>N15/Fig2Fig3Context!G$43</f>
        <v>-0.97121342512908793</v>
      </c>
      <c r="S15" s="48">
        <f>O15/Fig2Fig3Context!H$43</f>
        <v>-0.37194189189189192</v>
      </c>
      <c r="T15" s="48">
        <f>P15/Fig2Fig3Context!I$43</f>
        <v>-0.54180301455301461</v>
      </c>
      <c r="U15" s="47" t="s">
        <v>71</v>
      </c>
      <c r="V15" s="47" t="s">
        <v>71</v>
      </c>
      <c r="W15" s="47" t="s">
        <v>71</v>
      </c>
    </row>
    <row r="16" spans="1:23" s="17" customFormat="1" x14ac:dyDescent="0.25">
      <c r="A16" s="17" t="s">
        <v>12</v>
      </c>
      <c r="B16" s="17" t="s">
        <v>230</v>
      </c>
      <c r="C16" s="17" t="s">
        <v>229</v>
      </c>
      <c r="D16" s="53">
        <f>0.664/8.9*100</f>
        <v>7.4606741573033712</v>
      </c>
      <c r="E16" s="47" t="s">
        <v>71</v>
      </c>
      <c r="F16" s="47">
        <v>3</v>
      </c>
      <c r="G16" s="54">
        <f>AVERAGE(M16:P16)</f>
        <v>3.7223589999999995</v>
      </c>
      <c r="H16" s="54">
        <f>MAX(M16:P16)</f>
        <v>4.456696</v>
      </c>
      <c r="I16" s="54">
        <f>MIN(M16:P16)</f>
        <v>3.1308310000000001</v>
      </c>
      <c r="J16" s="50">
        <f>AVERAGE(Q16:T16)</f>
        <v>-0.50106935090361449</v>
      </c>
      <c r="K16" s="50">
        <f>MAX(Q16:T16)</f>
        <v>-0.40264165060240964</v>
      </c>
      <c r="L16" s="50">
        <f>MIN(Q16:T16)</f>
        <v>-0.580355483433735</v>
      </c>
      <c r="M16" s="54">
        <v>3.4088669999999999</v>
      </c>
      <c r="N16" s="54">
        <v>3.1308310000000001</v>
      </c>
      <c r="O16" s="54">
        <v>4.456696</v>
      </c>
      <c r="P16" s="54">
        <v>3.8930419999999999</v>
      </c>
      <c r="Q16" s="48">
        <f>(M16/$D16)-1</f>
        <v>-0.54308860993975916</v>
      </c>
      <c r="R16" s="48">
        <f>(N16/$D16)-1</f>
        <v>-0.580355483433735</v>
      </c>
      <c r="S16" s="48">
        <f>(O16/$D16)-1</f>
        <v>-0.40264165060240964</v>
      </c>
      <c r="T16" s="48">
        <f>(P16/$D16)-1</f>
        <v>-0.47819165963855426</v>
      </c>
      <c r="U16" s="47" t="s">
        <v>71</v>
      </c>
      <c r="V16" s="47" t="s">
        <v>71</v>
      </c>
      <c r="W16" s="47" t="s">
        <v>71</v>
      </c>
    </row>
    <row r="17" spans="1:25" s="17" customFormat="1" ht="16.5" x14ac:dyDescent="0.25">
      <c r="A17" s="17" t="s">
        <v>12</v>
      </c>
      <c r="B17" s="17" t="s">
        <v>228</v>
      </c>
      <c r="C17" s="17" t="s">
        <v>291</v>
      </c>
      <c r="D17" s="52">
        <v>1.508</v>
      </c>
      <c r="E17" s="47" t="s">
        <v>71</v>
      </c>
      <c r="F17" s="47">
        <v>3</v>
      </c>
      <c r="G17" s="54">
        <f>AVERAGE(M17:P17)</f>
        <v>0.75069753333333333</v>
      </c>
      <c r="H17" s="54">
        <f>MAX(M17:P17)</f>
        <v>0.89050090000000004</v>
      </c>
      <c r="I17" s="54">
        <f>MIN(M17:P17)</f>
        <v>0.58800989999999997</v>
      </c>
      <c r="J17" s="50">
        <f>AVERAGE(Q17:T17)</f>
        <v>-0.50218996463306809</v>
      </c>
      <c r="K17" s="50">
        <f>MAX(Q17:T17)</f>
        <v>-0.40948216180371355</v>
      </c>
      <c r="L17" s="50">
        <f>MIN(Q17:T17)</f>
        <v>-0.61007301061007957</v>
      </c>
      <c r="M17" s="54">
        <v>0.77358179999999999</v>
      </c>
      <c r="N17" s="54">
        <v>0.58800989999999997</v>
      </c>
      <c r="O17" s="54">
        <v>0.89050090000000004</v>
      </c>
      <c r="P17" s="47" t="s">
        <v>71</v>
      </c>
      <c r="Q17" s="48">
        <f>(M17/$D17)-1</f>
        <v>-0.48701472148541114</v>
      </c>
      <c r="R17" s="48">
        <f>(N17/$D17)-1</f>
        <v>-0.61007301061007957</v>
      </c>
      <c r="S17" s="48">
        <f>(O17/$D17)-1</f>
        <v>-0.40948216180371355</v>
      </c>
      <c r="T17" s="47" t="s">
        <v>71</v>
      </c>
      <c r="U17" s="47" t="s">
        <v>71</v>
      </c>
      <c r="V17" s="47" t="s">
        <v>71</v>
      </c>
      <c r="W17" s="47" t="s">
        <v>71</v>
      </c>
    </row>
    <row r="18" spans="1:25" s="17" customFormat="1" x14ac:dyDescent="0.25">
      <c r="A18" s="17" t="s">
        <v>16</v>
      </c>
      <c r="B18" s="17" t="s">
        <v>227</v>
      </c>
      <c r="C18" s="17" t="s">
        <v>226</v>
      </c>
      <c r="D18" s="49">
        <v>1601.7224701276987</v>
      </c>
      <c r="E18" s="48">
        <f>D18/Fig2Fig3Context!F9</f>
        <v>0.14494928015502909</v>
      </c>
      <c r="F18" s="47">
        <v>3</v>
      </c>
      <c r="G18" s="49">
        <f>AVERAGE(M18:P18)</f>
        <v>5048.4187500000007</v>
      </c>
      <c r="H18" s="49">
        <f>MAX(M18:P18)</f>
        <v>6001.991</v>
      </c>
      <c r="I18" s="49">
        <f>MIN(M18:P18)</f>
        <v>4478.1440000000002</v>
      </c>
      <c r="J18" s="50">
        <f>AVERAGE(Q18:T18)</f>
        <v>0.38028240094393784</v>
      </c>
      <c r="K18" s="50">
        <f>MAX(Q18:T18)</f>
        <v>0.61266378134843846</v>
      </c>
      <c r="L18" s="50">
        <f>MIN(Q18:T18)</f>
        <v>0.25584506531181</v>
      </c>
      <c r="M18" s="49">
        <v>4590.7250000000004</v>
      </c>
      <c r="N18" s="49">
        <v>5122.8149999999996</v>
      </c>
      <c r="O18" s="49">
        <v>4478.1440000000002</v>
      </c>
      <c r="P18" s="49">
        <v>6001.991</v>
      </c>
      <c r="Q18" s="48">
        <f>M18/Fig2Fig3Context!F$44</f>
        <v>0.30392325931699959</v>
      </c>
      <c r="R18" s="48">
        <f>N18/Fig2Fig3Context!G$44</f>
        <v>0.34869749779850345</v>
      </c>
      <c r="S18" s="48">
        <f>O18/Fig2Fig3Context!H$44</f>
        <v>0.25584506531181</v>
      </c>
      <c r="T18" s="48">
        <f>P18/Fig2Fig3Context!I$44</f>
        <v>0.61266378134843846</v>
      </c>
      <c r="U18" s="47" t="s">
        <v>71</v>
      </c>
      <c r="V18" s="47" t="s">
        <v>71</v>
      </c>
      <c r="W18" s="47" t="s">
        <v>71</v>
      </c>
    </row>
    <row r="19" spans="1:25" s="17" customFormat="1" x14ac:dyDescent="0.25">
      <c r="A19" s="17" t="s">
        <v>16</v>
      </c>
      <c r="B19" s="17" t="s">
        <v>225</v>
      </c>
      <c r="C19" s="17" t="s">
        <v>224</v>
      </c>
      <c r="D19" s="49">
        <v>348.57777394599998</v>
      </c>
      <c r="E19" s="48">
        <f>D19/Fig2Fig3Context!F10</f>
        <v>0.38433760090264452</v>
      </c>
      <c r="F19" s="47">
        <v>4</v>
      </c>
      <c r="G19" s="49">
        <f>U19</f>
        <v>660.19099700000004</v>
      </c>
      <c r="H19" s="47" t="s">
        <v>71</v>
      </c>
      <c r="I19" s="47" t="s">
        <v>71</v>
      </c>
      <c r="J19" s="51">
        <f>U19/Fig2Fig3Context!F10</f>
        <v>0.72791853895943637</v>
      </c>
      <c r="K19" s="47" t="s">
        <v>71</v>
      </c>
      <c r="L19" s="47" t="s">
        <v>71</v>
      </c>
      <c r="M19" s="47" t="s">
        <v>71</v>
      </c>
      <c r="N19" s="47" t="s">
        <v>71</v>
      </c>
      <c r="O19" s="47" t="s">
        <v>71</v>
      </c>
      <c r="P19" s="47" t="s">
        <v>71</v>
      </c>
      <c r="Q19" s="47" t="s">
        <v>71</v>
      </c>
      <c r="R19" s="47" t="s">
        <v>71</v>
      </c>
      <c r="S19" s="47" t="s">
        <v>71</v>
      </c>
      <c r="T19" s="47" t="s">
        <v>71</v>
      </c>
      <c r="U19" s="49">
        <v>660.19099700000004</v>
      </c>
      <c r="V19" s="47" t="s">
        <v>71</v>
      </c>
      <c r="W19" s="47" t="s">
        <v>71</v>
      </c>
    </row>
    <row r="20" spans="1:25" s="17" customFormat="1" x14ac:dyDescent="0.25">
      <c r="A20" s="17" t="s">
        <v>9</v>
      </c>
      <c r="B20" s="17" t="s">
        <v>223</v>
      </c>
      <c r="C20" s="17" t="s">
        <v>222</v>
      </c>
      <c r="D20" s="47">
        <v>0</v>
      </c>
      <c r="E20" s="48">
        <f>D20/Fig2Fig3Context!$F$6</f>
        <v>0</v>
      </c>
      <c r="F20" s="47" t="s">
        <v>205</v>
      </c>
      <c r="G20" s="49">
        <f>AVERAGE(M20:P20)</f>
        <v>1541.0630000000001</v>
      </c>
      <c r="H20" s="49">
        <f>MAX(M20:P20)</f>
        <v>1541.0630000000001</v>
      </c>
      <c r="I20" s="49">
        <f>MIN(M20:P20)</f>
        <v>1541.0630000000001</v>
      </c>
      <c r="J20" s="50">
        <f>AVERAGE(Q20:T20)</f>
        <v>3.5486066392675736E-2</v>
      </c>
      <c r="K20" s="50">
        <f>MAX(Q20:T20)</f>
        <v>4.4790900202696347E-2</v>
      </c>
      <c r="L20" s="50">
        <f>MIN(Q20:T20)</f>
        <v>2.5010169572593478E-2</v>
      </c>
      <c r="M20" s="49">
        <v>1541.0630000000001</v>
      </c>
      <c r="N20" s="49">
        <v>1541.0630000000001</v>
      </c>
      <c r="O20" s="49">
        <v>1541.0630000000001</v>
      </c>
      <c r="P20" s="49">
        <v>1541.0630000000001</v>
      </c>
      <c r="Q20" s="51">
        <f>M20/Fig2Fig3Context!F$41</f>
        <v>3.5156857745046934E-2</v>
      </c>
      <c r="R20" s="51">
        <f>N20/Fig2Fig3Context!G$41</f>
        <v>3.6986338050366184E-2</v>
      </c>
      <c r="S20" s="51">
        <f>O20/Fig2Fig3Context!H$41</f>
        <v>2.5010169572593478E-2</v>
      </c>
      <c r="T20" s="51">
        <f>P20/Fig2Fig3Context!I$41</f>
        <v>4.4790900202696347E-2</v>
      </c>
      <c r="U20" s="47" t="s">
        <v>71</v>
      </c>
      <c r="V20" s="47" t="s">
        <v>71</v>
      </c>
      <c r="W20" s="47" t="s">
        <v>71</v>
      </c>
    </row>
    <row r="21" spans="1:25" s="17" customFormat="1" x14ac:dyDescent="0.25">
      <c r="A21" s="17" t="s">
        <v>9</v>
      </c>
      <c r="B21" s="17" t="s">
        <v>221</v>
      </c>
      <c r="C21" s="17" t="s">
        <v>169</v>
      </c>
      <c r="D21" s="47">
        <v>0.6</v>
      </c>
      <c r="E21" s="48">
        <f>D21/Fig2Fig3Context!F7</f>
        <v>6.1855670103092781E-3</v>
      </c>
      <c r="F21" s="47">
        <v>2</v>
      </c>
      <c r="G21" s="49">
        <f>AVERAGE(M21:P21)</f>
        <v>152.44113013173433</v>
      </c>
      <c r="H21" s="49">
        <f>MAX(M21:P21)</f>
        <v>155.32303105962066</v>
      </c>
      <c r="I21" s="49">
        <f>MIN(M21:P21)</f>
        <v>150.3765801544499</v>
      </c>
      <c r="J21" s="55">
        <f>AVERAGE(Q22:T23)</f>
        <v>0.50813710043911442</v>
      </c>
      <c r="K21" s="55">
        <f>MAX(Q22:T23)</f>
        <v>0.77661515529810332</v>
      </c>
      <c r="L21" s="55">
        <f>MIN(Q22:T23)</f>
        <v>0.25062763359074985</v>
      </c>
      <c r="M21" s="49">
        <v>151.67689631943318</v>
      </c>
      <c r="N21" s="49">
        <v>155.32303105962066</v>
      </c>
      <c r="O21" s="49">
        <v>150.3765801544499</v>
      </c>
      <c r="P21" s="49">
        <v>152.38801299343356</v>
      </c>
      <c r="Q21" s="47" t="s">
        <v>71</v>
      </c>
      <c r="R21" s="47" t="s">
        <v>71</v>
      </c>
      <c r="S21" s="47" t="s">
        <v>71</v>
      </c>
      <c r="T21" s="47" t="s">
        <v>71</v>
      </c>
      <c r="U21" s="47" t="s">
        <v>71</v>
      </c>
      <c r="V21" s="47" t="s">
        <v>71</v>
      </c>
      <c r="W21" s="47" t="s">
        <v>71</v>
      </c>
    </row>
    <row r="22" spans="1:25" s="17" customFormat="1" x14ac:dyDescent="0.25">
      <c r="A22" s="17" t="s">
        <v>9</v>
      </c>
      <c r="B22" s="56" t="s">
        <v>220</v>
      </c>
      <c r="C22" s="17" t="s">
        <v>169</v>
      </c>
      <c r="D22" s="47" t="s">
        <v>71</v>
      </c>
      <c r="E22" s="47" t="s">
        <v>71</v>
      </c>
      <c r="F22" s="47" t="s">
        <v>71</v>
      </c>
      <c r="G22" s="47" t="s">
        <v>71</v>
      </c>
      <c r="H22" s="47" t="s">
        <v>71</v>
      </c>
      <c r="I22" s="47" t="s">
        <v>71</v>
      </c>
      <c r="J22" s="47" t="s">
        <v>71</v>
      </c>
      <c r="K22" s="47" t="s">
        <v>71</v>
      </c>
      <c r="L22" s="47" t="s">
        <v>71</v>
      </c>
      <c r="M22" s="47" t="s">
        <v>71</v>
      </c>
      <c r="N22" s="47" t="s">
        <v>71</v>
      </c>
      <c r="O22" s="47" t="s">
        <v>71</v>
      </c>
      <c r="P22" s="47" t="s">
        <v>71</v>
      </c>
      <c r="Q22" s="48">
        <f>M21/Fig2Fig3Context!$F34</f>
        <v>0.75838448159716587</v>
      </c>
      <c r="R22" s="48">
        <f>N21/Fig2Fig3Context!$F34</f>
        <v>0.77661515529810332</v>
      </c>
      <c r="S22" s="48">
        <f>O21/Fig2Fig3Context!$F34</f>
        <v>0.75188290077224951</v>
      </c>
      <c r="T22" s="48">
        <f>P21/Fig2Fig3Context!$F34</f>
        <v>0.76194006496716782</v>
      </c>
      <c r="U22" s="47" t="s">
        <v>71</v>
      </c>
      <c r="V22" s="47" t="s">
        <v>71</v>
      </c>
      <c r="W22" s="47" t="s">
        <v>71</v>
      </c>
    </row>
    <row r="23" spans="1:25" s="17" customFormat="1" x14ac:dyDescent="0.25">
      <c r="A23" s="17" t="s">
        <v>9</v>
      </c>
      <c r="B23" s="56" t="s">
        <v>219</v>
      </c>
      <c r="C23" s="17" t="s">
        <v>169</v>
      </c>
      <c r="D23" s="47" t="s">
        <v>71</v>
      </c>
      <c r="E23" s="47" t="s">
        <v>71</v>
      </c>
      <c r="F23" s="47" t="s">
        <v>71</v>
      </c>
      <c r="G23" s="47" t="s">
        <v>71</v>
      </c>
      <c r="H23" s="47" t="s">
        <v>71</v>
      </c>
      <c r="I23" s="47" t="s">
        <v>71</v>
      </c>
      <c r="J23" s="47" t="s">
        <v>71</v>
      </c>
      <c r="K23" s="47" t="s">
        <v>71</v>
      </c>
      <c r="L23" s="47" t="s">
        <v>71</v>
      </c>
      <c r="M23" s="47" t="s">
        <v>71</v>
      </c>
      <c r="N23" s="47" t="s">
        <v>71</v>
      </c>
      <c r="O23" s="47" t="s">
        <v>71</v>
      </c>
      <c r="P23" s="47" t="s">
        <v>71</v>
      </c>
      <c r="Q23" s="48">
        <f>M21/Fig2Fig3Context!$F35</f>
        <v>0.25279482719905533</v>
      </c>
      <c r="R23" s="48">
        <f>N21/Fig2Fig3Context!$F35</f>
        <v>0.25887171843270113</v>
      </c>
      <c r="S23" s="48">
        <f>O21/Fig2Fig3Context!$F35</f>
        <v>0.25062763359074985</v>
      </c>
      <c r="T23" s="48">
        <f>P21/Fig2Fig3Context!$F35</f>
        <v>0.25398002165572259</v>
      </c>
      <c r="U23" s="47" t="s">
        <v>71</v>
      </c>
      <c r="V23" s="47" t="s">
        <v>71</v>
      </c>
      <c r="W23" s="47" t="s">
        <v>71</v>
      </c>
      <c r="X23" s="57"/>
    </row>
    <row r="24" spans="1:25" s="17" customFormat="1" x14ac:dyDescent="0.25">
      <c r="A24" s="17" t="s">
        <v>9</v>
      </c>
      <c r="B24" s="17" t="s">
        <v>218</v>
      </c>
      <c r="C24" s="17" t="s">
        <v>214</v>
      </c>
      <c r="D24" s="47">
        <v>0</v>
      </c>
      <c r="E24" s="48">
        <f>D24/Fig2Fig3Context!$F$11</f>
        <v>0</v>
      </c>
      <c r="F24" s="47" t="s">
        <v>205</v>
      </c>
      <c r="G24" s="54">
        <f>AVERAGE(M24:P24)</f>
        <v>1.2916301239219568</v>
      </c>
      <c r="H24" s="54">
        <f>MAX(M24:P24)</f>
        <v>1.3525722722931439</v>
      </c>
      <c r="I24" s="54">
        <f>MIN(M24:P24)</f>
        <v>1.2147387771808575</v>
      </c>
      <c r="J24" s="55">
        <f>AVERAGE(Q24:T24)</f>
        <v>0.39400737480849074</v>
      </c>
      <c r="K24" s="55">
        <f>MAX(Q24:T24)</f>
        <v>0.44650019019521786</v>
      </c>
      <c r="L24" s="55">
        <f>MIN(Q24:T24)</f>
        <v>0.28312224457709695</v>
      </c>
      <c r="M24" s="54">
        <f>AVERAGE(M25:M26)</f>
        <v>1.3088192073554605</v>
      </c>
      <c r="N24" s="54">
        <f>AVERAGE(N25:N26)</f>
        <v>1.3525722722931439</v>
      </c>
      <c r="O24" s="54">
        <f>AVERAGE(O25:O26)</f>
        <v>1.2147387771808575</v>
      </c>
      <c r="P24" s="54">
        <f>AVERAGE(P25:P26)</f>
        <v>1.2903902388583655</v>
      </c>
      <c r="Q24" s="48">
        <f>M24/Fig2Fig3Context!F$45</f>
        <v>0.41185684604754424</v>
      </c>
      <c r="R24" s="48">
        <f>N24/Fig2Fig3Context!G$45</f>
        <v>0.43455021841410385</v>
      </c>
      <c r="S24" s="48">
        <f>O24/Fig2Fig3Context!H$45</f>
        <v>0.28312224457709695</v>
      </c>
      <c r="T24" s="48">
        <f>P24/Fig2Fig3Context!I$45</f>
        <v>0.44650019019521786</v>
      </c>
      <c r="U24" s="47" t="s">
        <v>71</v>
      </c>
      <c r="V24" s="47" t="s">
        <v>71</v>
      </c>
      <c r="W24" s="47" t="s">
        <v>71</v>
      </c>
      <c r="X24" s="57"/>
    </row>
    <row r="25" spans="1:25" s="17" customFormat="1" x14ac:dyDescent="0.25">
      <c r="A25" s="17" t="s">
        <v>9</v>
      </c>
      <c r="B25" s="56" t="s">
        <v>217</v>
      </c>
      <c r="C25" s="17" t="s">
        <v>214</v>
      </c>
      <c r="D25" s="47">
        <v>0</v>
      </c>
      <c r="E25" s="48">
        <f>D25/Fig2Fig3Context!$F$11</f>
        <v>0</v>
      </c>
      <c r="F25" s="47" t="s">
        <v>205</v>
      </c>
      <c r="G25" s="47" t="s">
        <v>71</v>
      </c>
      <c r="H25" s="47" t="s">
        <v>71</v>
      </c>
      <c r="I25" s="47" t="s">
        <v>71</v>
      </c>
      <c r="J25" s="47" t="s">
        <v>71</v>
      </c>
      <c r="K25" s="47" t="s">
        <v>71</v>
      </c>
      <c r="L25" s="47" t="s">
        <v>71</v>
      </c>
      <c r="M25" s="54">
        <v>1.1571800421880618</v>
      </c>
      <c r="N25" s="54">
        <v>1.2302430733978427</v>
      </c>
      <c r="O25" s="54">
        <v>1.0610698120277045</v>
      </c>
      <c r="P25" s="54">
        <v>1.1470523746444159</v>
      </c>
      <c r="Q25" s="48">
        <f>M25/Fig2Fig3Context!F$45</f>
        <v>0.36413930954430301</v>
      </c>
      <c r="R25" s="48">
        <f>N25/Fig2Fig3Context!G$45</f>
        <v>0.39524867336006292</v>
      </c>
      <c r="S25" s="48">
        <f>O25/Fig2Fig3Context!H$45</f>
        <v>0.24730622951831135</v>
      </c>
      <c r="T25" s="48">
        <f>P25/Fig2Fig3Context!I$45</f>
        <v>0.39690249354003609</v>
      </c>
      <c r="U25" s="47" t="s">
        <v>71</v>
      </c>
      <c r="V25" s="47" t="s">
        <v>71</v>
      </c>
      <c r="W25" s="47" t="s">
        <v>71</v>
      </c>
      <c r="X25" s="57"/>
    </row>
    <row r="26" spans="1:25" s="17" customFormat="1" x14ac:dyDescent="0.25">
      <c r="A26" s="17" t="s">
        <v>9</v>
      </c>
      <c r="B26" s="56" t="s">
        <v>216</v>
      </c>
      <c r="C26" s="17" t="s">
        <v>214</v>
      </c>
      <c r="D26" s="47">
        <v>0</v>
      </c>
      <c r="E26" s="48">
        <f>D26/Fig2Fig3Context!$F$11</f>
        <v>0</v>
      </c>
      <c r="F26" s="47" t="s">
        <v>205</v>
      </c>
      <c r="G26" s="47" t="s">
        <v>71</v>
      </c>
      <c r="H26" s="47" t="s">
        <v>71</v>
      </c>
      <c r="I26" s="47" t="s">
        <v>71</v>
      </c>
      <c r="J26" s="47" t="s">
        <v>71</v>
      </c>
      <c r="K26" s="47" t="s">
        <v>71</v>
      </c>
      <c r="L26" s="47" t="s">
        <v>71</v>
      </c>
      <c r="M26" s="54">
        <v>1.460458372522859</v>
      </c>
      <c r="N26" s="54">
        <v>1.4749014711884449</v>
      </c>
      <c r="O26" s="54">
        <v>1.3684077423340106</v>
      </c>
      <c r="P26" s="54">
        <v>1.433728103072315</v>
      </c>
      <c r="Q26" s="48">
        <f>M26/Fig2Fig3Context!F$45</f>
        <v>0.45957438255078542</v>
      </c>
      <c r="R26" s="48">
        <f>N26/Fig2Fig3Context!G$45</f>
        <v>0.47385176346814473</v>
      </c>
      <c r="S26" s="48">
        <f>O26/Fig2Fig3Context!H$45</f>
        <v>0.31893825963588257</v>
      </c>
      <c r="T26" s="48">
        <f>P26/Fig2Fig3Context!I$45</f>
        <v>0.49609788685039968</v>
      </c>
      <c r="U26" s="47" t="s">
        <v>71</v>
      </c>
      <c r="V26" s="47" t="s">
        <v>71</v>
      </c>
      <c r="W26" s="47" t="s">
        <v>71</v>
      </c>
      <c r="X26" s="57"/>
    </row>
    <row r="27" spans="1:25" s="17" customFormat="1" x14ac:dyDescent="0.25">
      <c r="A27" s="17" t="s">
        <v>9</v>
      </c>
      <c r="B27" s="17" t="s">
        <v>215</v>
      </c>
      <c r="C27" s="17" t="s">
        <v>214</v>
      </c>
      <c r="D27" s="47">
        <v>0</v>
      </c>
      <c r="E27" s="48">
        <f>D27/Fig2Fig3Context!$F$12</f>
        <v>0</v>
      </c>
      <c r="F27" s="47" t="s">
        <v>205</v>
      </c>
      <c r="G27" s="54">
        <f>AVERAGE(M27:P27)</f>
        <v>4.9535940253807524</v>
      </c>
      <c r="H27" s="54">
        <f>MAX(M27:P27)</f>
        <v>5.0371030842630642</v>
      </c>
      <c r="I27" s="54">
        <f>MIN(M27:P27)</f>
        <v>4.8648678002777705</v>
      </c>
      <c r="J27" s="55">
        <f>AVERAGE(Q27:T27)</f>
        <v>0.92926592370833605</v>
      </c>
      <c r="K27" s="55">
        <f>MAX(Q27:T27)</f>
        <v>1.0586838344789153</v>
      </c>
      <c r="L27" s="55">
        <f>MIN(Q27:T27)</f>
        <v>0.63696144490078421</v>
      </c>
      <c r="M27" s="54">
        <v>4.9316927635249437</v>
      </c>
      <c r="N27" s="54">
        <v>4.8648678002777705</v>
      </c>
      <c r="O27" s="54">
        <v>4.9807124534572313</v>
      </c>
      <c r="P27" s="54">
        <v>5.0371030842630642</v>
      </c>
      <c r="Q27" s="48">
        <f>M27/Fig2Fig3Context!F46</f>
        <v>1.040231525673786</v>
      </c>
      <c r="R27" s="48">
        <f>N27/Fig2Fig3Context!G46</f>
        <v>1.0586838344789153</v>
      </c>
      <c r="S27" s="48">
        <f>O27/Fig2Fig3Context!H46</f>
        <v>0.63696144490078421</v>
      </c>
      <c r="T27" s="48">
        <f>P27/Fig2Fig3Context!I46</f>
        <v>0.98118688977985902</v>
      </c>
      <c r="U27" s="47" t="s">
        <v>71</v>
      </c>
      <c r="V27" s="47" t="s">
        <v>71</v>
      </c>
      <c r="W27" s="47" t="s">
        <v>71</v>
      </c>
    </row>
    <row r="28" spans="1:25" s="17" customFormat="1" ht="18" x14ac:dyDescent="0.35">
      <c r="A28" s="17" t="s">
        <v>9</v>
      </c>
      <c r="B28" s="17" t="s">
        <v>213</v>
      </c>
      <c r="C28" s="17" t="s">
        <v>292</v>
      </c>
      <c r="D28" s="47" t="s">
        <v>71</v>
      </c>
      <c r="E28" s="47" t="s">
        <v>71</v>
      </c>
      <c r="F28" s="47" t="s">
        <v>71</v>
      </c>
      <c r="G28" s="49">
        <f>AVERAGE(M28:P28)</f>
        <v>-30</v>
      </c>
      <c r="H28" s="49">
        <f>MAX(M28:P28)</f>
        <v>-30</v>
      </c>
      <c r="I28" s="49">
        <f>MIN(M28:P28)</f>
        <v>-30</v>
      </c>
      <c r="J28" s="55">
        <f>AVERAGE(Q28:T28)</f>
        <v>-0.43920105916112662</v>
      </c>
      <c r="K28" s="55">
        <f>MAX(Q28:T28)</f>
        <v>-0.39580845178592533</v>
      </c>
      <c r="L28" s="55">
        <f>MIN(Q28:T28)</f>
        <v>-0.47411805352677838</v>
      </c>
      <c r="M28" s="49">
        <v>-30</v>
      </c>
      <c r="N28" s="49">
        <v>-30</v>
      </c>
      <c r="O28" s="49">
        <v>-30</v>
      </c>
      <c r="P28" s="49">
        <v>-30</v>
      </c>
      <c r="Q28" s="48">
        <f>M28/Fig2Fig3Context!F47</f>
        <v>-0.43242640386118403</v>
      </c>
      <c r="R28" s="48">
        <f>N28/Fig2Fig3Context!G47</f>
        <v>-0.47411805352677838</v>
      </c>
      <c r="S28" s="48">
        <f>O28/Fig2Fig3Context!H47</f>
        <v>-0.39580845178592533</v>
      </c>
      <c r="T28" s="48">
        <f>P28/Fig2Fig3Context!I47</f>
        <v>-0.45445132747061878</v>
      </c>
      <c r="U28" s="47" t="s">
        <v>71</v>
      </c>
      <c r="V28" s="47" t="s">
        <v>71</v>
      </c>
      <c r="W28" s="47" t="s">
        <v>71</v>
      </c>
    </row>
    <row r="29" spans="1:25" s="17" customFormat="1" ht="18" x14ac:dyDescent="0.35">
      <c r="A29" s="17" t="s">
        <v>9</v>
      </c>
      <c r="B29" s="17" t="s">
        <v>212</v>
      </c>
      <c r="C29" s="17" t="s">
        <v>292</v>
      </c>
      <c r="D29" s="47" t="s">
        <v>71</v>
      </c>
      <c r="E29" s="47" t="s">
        <v>71</v>
      </c>
      <c r="F29" s="47" t="s">
        <v>71</v>
      </c>
      <c r="G29" s="47">
        <f>U29</f>
        <v>-30</v>
      </c>
      <c r="H29" s="47" t="s">
        <v>71</v>
      </c>
      <c r="I29" s="47" t="s">
        <v>71</v>
      </c>
      <c r="J29" s="55">
        <f>U29/Fig2Fig3Context!F24</f>
        <v>-0.65217391304347827</v>
      </c>
      <c r="K29" s="47" t="s">
        <v>71</v>
      </c>
      <c r="L29" s="47" t="s">
        <v>71</v>
      </c>
      <c r="M29" s="47" t="s">
        <v>71</v>
      </c>
      <c r="N29" s="47" t="s">
        <v>71</v>
      </c>
      <c r="O29" s="47" t="s">
        <v>71</v>
      </c>
      <c r="P29" s="47" t="s">
        <v>71</v>
      </c>
      <c r="Q29" s="47" t="s">
        <v>71</v>
      </c>
      <c r="R29" s="47" t="s">
        <v>71</v>
      </c>
      <c r="S29" s="47" t="s">
        <v>71</v>
      </c>
      <c r="T29" s="47" t="s">
        <v>71</v>
      </c>
      <c r="U29" s="47">
        <v>-30</v>
      </c>
      <c r="V29" s="47" t="s">
        <v>71</v>
      </c>
      <c r="W29" s="47" t="s">
        <v>71</v>
      </c>
    </row>
    <row r="30" spans="1:25" s="17" customFormat="1" x14ac:dyDescent="0.25">
      <c r="A30" s="17" t="s">
        <v>200</v>
      </c>
      <c r="B30" s="17" t="s">
        <v>211</v>
      </c>
      <c r="C30" s="17" t="s">
        <v>175</v>
      </c>
      <c r="D30" s="49">
        <v>66.3</v>
      </c>
      <c r="E30" s="48">
        <f>D30/Fig2Fig3Context!F17</f>
        <v>4.4214738246082026E-2</v>
      </c>
      <c r="F30" s="49">
        <v>12</v>
      </c>
      <c r="G30" s="49">
        <f>U30</f>
        <v>103.83799999999999</v>
      </c>
      <c r="H30" s="49">
        <f>V30</f>
        <v>130.59690000000001</v>
      </c>
      <c r="I30" s="49">
        <f>W30</f>
        <v>86.041480000000007</v>
      </c>
      <c r="J30" s="48">
        <f>U30/Fig2Fig3Context!$F$29</f>
        <v>6.5866159213447503E-2</v>
      </c>
      <c r="K30" s="48">
        <f>V30/Fig2Fig3Context!$F$29</f>
        <v>8.2839771646051386E-2</v>
      </c>
      <c r="L30" s="48">
        <f>W30/Fig2Fig3Context!$F$29</f>
        <v>5.4577532508721854E-2</v>
      </c>
      <c r="M30" s="47" t="s">
        <v>71</v>
      </c>
      <c r="N30" s="47" t="s">
        <v>71</v>
      </c>
      <c r="O30" s="47" t="s">
        <v>71</v>
      </c>
      <c r="P30" s="47" t="s">
        <v>71</v>
      </c>
      <c r="Q30" s="47" t="s">
        <v>71</v>
      </c>
      <c r="R30" s="47" t="s">
        <v>71</v>
      </c>
      <c r="S30" s="47" t="s">
        <v>71</v>
      </c>
      <c r="T30" s="47" t="s">
        <v>71</v>
      </c>
      <c r="U30" s="49">
        <v>103.83799999999999</v>
      </c>
      <c r="V30" s="49">
        <v>130.59690000000001</v>
      </c>
      <c r="W30" s="49">
        <v>86.041480000000007</v>
      </c>
      <c r="X30" s="58"/>
      <c r="Y30" s="58"/>
    </row>
    <row r="31" spans="1:25" s="17" customFormat="1" x14ac:dyDescent="0.25">
      <c r="A31" s="17" t="s">
        <v>200</v>
      </c>
      <c r="B31" s="17" t="s">
        <v>210</v>
      </c>
      <c r="C31" s="17" t="s">
        <v>175</v>
      </c>
      <c r="D31" s="49">
        <v>43.5</v>
      </c>
      <c r="E31" s="48">
        <f>D31/Fig2Fig3Context!F18</f>
        <v>6.7441860465116285E-2</v>
      </c>
      <c r="F31" s="49">
        <v>12</v>
      </c>
      <c r="G31" s="49">
        <f>U31</f>
        <v>143.0462</v>
      </c>
      <c r="H31" s="49">
        <f>V31</f>
        <v>184.20310000000001</v>
      </c>
      <c r="I31" s="49">
        <f>W31</f>
        <v>117.0497</v>
      </c>
      <c r="J31" s="48">
        <f>U31/Fig2Fig3Context!$F$30</f>
        <v>0.22960866773675762</v>
      </c>
      <c r="K31" s="48">
        <f>V31/Fig2Fig3Context!$F$30</f>
        <v>0.29567110754414128</v>
      </c>
      <c r="L31" s="48">
        <f>W31/Fig2Fig3Context!$F$30</f>
        <v>0.18788073836276084</v>
      </c>
      <c r="M31" s="47" t="s">
        <v>71</v>
      </c>
      <c r="N31" s="47" t="s">
        <v>71</v>
      </c>
      <c r="O31" s="47" t="s">
        <v>71</v>
      </c>
      <c r="P31" s="47" t="s">
        <v>71</v>
      </c>
      <c r="Q31" s="47" t="s">
        <v>71</v>
      </c>
      <c r="R31" s="47" t="s">
        <v>71</v>
      </c>
      <c r="S31" s="47" t="s">
        <v>71</v>
      </c>
      <c r="T31" s="47" t="s">
        <v>71</v>
      </c>
      <c r="U31" s="49">
        <v>143.0462</v>
      </c>
      <c r="V31" s="49">
        <v>184.20310000000001</v>
      </c>
      <c r="W31" s="49">
        <v>117.0497</v>
      </c>
      <c r="X31" s="58"/>
      <c r="Y31" s="58"/>
    </row>
    <row r="32" spans="1:25" s="17" customFormat="1" x14ac:dyDescent="0.25">
      <c r="A32" s="17" t="s">
        <v>200</v>
      </c>
      <c r="B32" s="17" t="s">
        <v>209</v>
      </c>
      <c r="C32" s="17" t="s">
        <v>175</v>
      </c>
      <c r="D32" s="47" t="s">
        <v>71</v>
      </c>
      <c r="E32" s="47" t="s">
        <v>71</v>
      </c>
      <c r="F32" s="47" t="s">
        <v>71</v>
      </c>
      <c r="G32" s="49">
        <f>U32</f>
        <v>129.03309999999999</v>
      </c>
      <c r="H32" s="49">
        <f>V32</f>
        <v>216.036</v>
      </c>
      <c r="I32" s="49">
        <f>W32</f>
        <v>92.827979999999997</v>
      </c>
      <c r="J32" s="48">
        <f>U32/Fig2Fig3Context!$F$27</f>
        <v>0.2952702517162471</v>
      </c>
      <c r="K32" s="48">
        <f>V32/Fig2Fig3Context!$F$27</f>
        <v>0.49436155606407323</v>
      </c>
      <c r="L32" s="48">
        <f>W32/Fig2Fig3Context!$F$27</f>
        <v>0.21242100686498855</v>
      </c>
      <c r="M32" s="47" t="s">
        <v>71</v>
      </c>
      <c r="N32" s="47" t="s">
        <v>71</v>
      </c>
      <c r="O32" s="47" t="s">
        <v>71</v>
      </c>
      <c r="P32" s="47" t="s">
        <v>71</v>
      </c>
      <c r="Q32" s="47" t="s">
        <v>71</v>
      </c>
      <c r="R32" s="47" t="s">
        <v>71</v>
      </c>
      <c r="S32" s="47" t="s">
        <v>71</v>
      </c>
      <c r="T32" s="47" t="s">
        <v>71</v>
      </c>
      <c r="U32" s="49">
        <v>129.03309999999999</v>
      </c>
      <c r="V32" s="49">
        <v>216.036</v>
      </c>
      <c r="W32" s="49">
        <v>92.827979999999997</v>
      </c>
      <c r="X32" s="58"/>
      <c r="Y32" s="58"/>
    </row>
    <row r="33" spans="1:25" s="17" customFormat="1" x14ac:dyDescent="0.25">
      <c r="A33" s="17" t="s">
        <v>200</v>
      </c>
      <c r="B33" s="17" t="s">
        <v>208</v>
      </c>
      <c r="C33" s="17" t="s">
        <v>175</v>
      </c>
      <c r="D33" s="47" t="s">
        <v>71</v>
      </c>
      <c r="E33" s="47" t="s">
        <v>71</v>
      </c>
      <c r="F33" s="47" t="s">
        <v>71</v>
      </c>
      <c r="G33" s="49">
        <f>U33</f>
        <v>175.29859999999999</v>
      </c>
      <c r="H33" s="49">
        <f>V33</f>
        <v>277.17970000000003</v>
      </c>
      <c r="I33" s="49">
        <f>W33</f>
        <v>128.12029999999999</v>
      </c>
      <c r="J33" s="48">
        <f>U33/Fig2Fig3Context!$F$28</f>
        <v>0.63861056466302368</v>
      </c>
      <c r="K33" s="48">
        <f>V33/Fig2Fig3Context!$F$28</f>
        <v>1.0097621129326049</v>
      </c>
      <c r="L33" s="48">
        <f>W33/Fig2Fig3Context!$F$28</f>
        <v>0.46674061930783239</v>
      </c>
      <c r="M33" s="47" t="s">
        <v>71</v>
      </c>
      <c r="N33" s="47" t="s">
        <v>71</v>
      </c>
      <c r="O33" s="47" t="s">
        <v>71</v>
      </c>
      <c r="P33" s="47" t="s">
        <v>71</v>
      </c>
      <c r="Q33" s="47" t="s">
        <v>71</v>
      </c>
      <c r="R33" s="47" t="s">
        <v>71</v>
      </c>
      <c r="S33" s="47" t="s">
        <v>71</v>
      </c>
      <c r="T33" s="47" t="s">
        <v>71</v>
      </c>
      <c r="U33" s="49">
        <v>175.29859999999999</v>
      </c>
      <c r="V33" s="49">
        <v>277.17970000000003</v>
      </c>
      <c r="W33" s="49">
        <v>128.12029999999999</v>
      </c>
      <c r="X33" s="58"/>
      <c r="Y33" s="58"/>
    </row>
    <row r="34" spans="1:25" s="17" customFormat="1" x14ac:dyDescent="0.25">
      <c r="A34" s="17" t="s">
        <v>200</v>
      </c>
      <c r="B34" s="17" t="s">
        <v>207</v>
      </c>
      <c r="C34" s="17" t="s">
        <v>175</v>
      </c>
      <c r="D34" s="47" t="s">
        <v>71</v>
      </c>
      <c r="E34" s="47" t="s">
        <v>71</v>
      </c>
      <c r="F34" s="47" t="s">
        <v>71</v>
      </c>
      <c r="G34" s="49">
        <f>U34</f>
        <v>152.03569999999999</v>
      </c>
      <c r="H34" s="49">
        <f>V34</f>
        <v>169.08199999999999</v>
      </c>
      <c r="I34" s="49">
        <f>W34</f>
        <v>137.80199999999999</v>
      </c>
      <c r="J34" s="48">
        <f>U34/Fig2Fig3Context!$F$25</f>
        <v>0.35563906432748538</v>
      </c>
      <c r="K34" s="48">
        <f>V34/Fig2Fig3Context!$F$25</f>
        <v>0.39551345029239765</v>
      </c>
      <c r="L34" s="48">
        <f>W34/Fig2Fig3Context!$F$25</f>
        <v>0.32234385964912277</v>
      </c>
      <c r="M34" s="47" t="s">
        <v>71</v>
      </c>
      <c r="N34" s="47" t="s">
        <v>71</v>
      </c>
      <c r="O34" s="47" t="s">
        <v>71</v>
      </c>
      <c r="P34" s="47" t="s">
        <v>71</v>
      </c>
      <c r="Q34" s="47" t="s">
        <v>71</v>
      </c>
      <c r="R34" s="47" t="s">
        <v>71</v>
      </c>
      <c r="S34" s="47" t="s">
        <v>71</v>
      </c>
      <c r="T34" s="47" t="s">
        <v>71</v>
      </c>
      <c r="U34" s="49">
        <v>152.03569999999999</v>
      </c>
      <c r="V34" s="49">
        <v>169.08199999999999</v>
      </c>
      <c r="W34" s="49">
        <v>137.80199999999999</v>
      </c>
      <c r="X34" s="58"/>
      <c r="Y34" s="58"/>
    </row>
    <row r="35" spans="1:25" s="17" customFormat="1" x14ac:dyDescent="0.25">
      <c r="A35" s="17" t="s">
        <v>200</v>
      </c>
      <c r="B35" s="17" t="s">
        <v>206</v>
      </c>
      <c r="C35" s="17" t="s">
        <v>175</v>
      </c>
      <c r="D35" s="49">
        <v>0</v>
      </c>
      <c r="E35" s="48">
        <f>D35/Fig2Fig3Context!F19</f>
        <v>0</v>
      </c>
      <c r="F35" s="47" t="s">
        <v>205</v>
      </c>
      <c r="G35" s="49">
        <f>U35</f>
        <v>320</v>
      </c>
      <c r="H35" s="47" t="s">
        <v>71</v>
      </c>
      <c r="I35" s="47" t="s">
        <v>71</v>
      </c>
      <c r="J35" s="48">
        <f>U35/Fig2Fig3Context!$F$31</f>
        <v>0.1971050200184786</v>
      </c>
      <c r="K35" s="47" t="s">
        <v>71</v>
      </c>
      <c r="L35" s="47" t="s">
        <v>71</v>
      </c>
      <c r="M35" s="47" t="s">
        <v>71</v>
      </c>
      <c r="N35" s="47" t="s">
        <v>71</v>
      </c>
      <c r="O35" s="47" t="s">
        <v>71</v>
      </c>
      <c r="P35" s="47" t="s">
        <v>71</v>
      </c>
      <c r="Q35" s="47" t="s">
        <v>71</v>
      </c>
      <c r="R35" s="47" t="s">
        <v>71</v>
      </c>
      <c r="S35" s="47" t="s">
        <v>71</v>
      </c>
      <c r="T35" s="47" t="s">
        <v>71</v>
      </c>
      <c r="U35" s="49">
        <v>320</v>
      </c>
      <c r="V35" s="47" t="s">
        <v>71</v>
      </c>
      <c r="W35" s="47" t="s">
        <v>71</v>
      </c>
      <c r="X35" s="58"/>
      <c r="Y35" s="58"/>
    </row>
    <row r="36" spans="1:25" s="17" customFormat="1" x14ac:dyDescent="0.25">
      <c r="A36" s="17" t="s">
        <v>200</v>
      </c>
      <c r="B36" s="17" t="s">
        <v>204</v>
      </c>
      <c r="C36" s="17" t="s">
        <v>175</v>
      </c>
      <c r="D36" s="47" t="s">
        <v>71</v>
      </c>
      <c r="E36" s="47" t="s">
        <v>71</v>
      </c>
      <c r="F36" s="47" t="s">
        <v>71</v>
      </c>
      <c r="G36" s="49">
        <f>U36</f>
        <v>338.55610000000001</v>
      </c>
      <c r="H36" s="49">
        <f>V36</f>
        <v>541.37059999999997</v>
      </c>
      <c r="I36" s="49">
        <f>W36</f>
        <v>246.63560000000001</v>
      </c>
      <c r="J36" s="48">
        <f>U36/Fig2Fig3Context!$F$26</f>
        <v>0.80036903073286059</v>
      </c>
      <c r="K36" s="48">
        <f>V36/Fig2Fig3Context!$F$26</f>
        <v>1.2798359338061465</v>
      </c>
      <c r="L36" s="48">
        <f>W36/Fig2Fig3Context!$F$26</f>
        <v>0.58306288416075658</v>
      </c>
      <c r="M36" s="47" t="s">
        <v>71</v>
      </c>
      <c r="N36" s="47" t="s">
        <v>71</v>
      </c>
      <c r="O36" s="47" t="s">
        <v>71</v>
      </c>
      <c r="P36" s="47" t="s">
        <v>71</v>
      </c>
      <c r="Q36" s="47" t="s">
        <v>71</v>
      </c>
      <c r="R36" s="47" t="s">
        <v>71</v>
      </c>
      <c r="S36" s="47" t="s">
        <v>71</v>
      </c>
      <c r="T36" s="47" t="s">
        <v>71</v>
      </c>
      <c r="U36" s="49">
        <v>338.55610000000001</v>
      </c>
      <c r="V36" s="49">
        <v>541.37059999999997</v>
      </c>
      <c r="W36" s="49">
        <v>246.63560000000001</v>
      </c>
      <c r="X36" s="58"/>
      <c r="Y36" s="58"/>
    </row>
    <row r="37" spans="1:25" s="17" customFormat="1" x14ac:dyDescent="0.25">
      <c r="A37" s="17" t="s">
        <v>200</v>
      </c>
      <c r="B37" s="17" t="s">
        <v>203</v>
      </c>
      <c r="C37" s="17" t="s">
        <v>175</v>
      </c>
      <c r="D37" s="49">
        <v>180</v>
      </c>
      <c r="E37" s="48">
        <f>D37/Fig2Fig3Context!F19</f>
        <v>0.11087157376039421</v>
      </c>
      <c r="F37" s="47">
        <v>13</v>
      </c>
      <c r="G37" s="49">
        <f>U37</f>
        <v>904</v>
      </c>
      <c r="H37" s="49">
        <f>V37</f>
        <v>1371</v>
      </c>
      <c r="I37" s="49">
        <f>W37</f>
        <v>675</v>
      </c>
      <c r="J37" s="48">
        <f>U37/Fig2Fig3Context!$F$31</f>
        <v>0.55682168155220202</v>
      </c>
      <c r="K37" s="48">
        <f>V37/Fig2Fig3Context!$F$31</f>
        <v>0.84447182014166922</v>
      </c>
      <c r="L37" s="48">
        <f>W37/Fig2Fig3Context!$F$31</f>
        <v>0.41576840160147827</v>
      </c>
      <c r="M37" s="47" t="s">
        <v>71</v>
      </c>
      <c r="N37" s="47" t="s">
        <v>71</v>
      </c>
      <c r="O37" s="47" t="s">
        <v>71</v>
      </c>
      <c r="P37" s="47" t="s">
        <v>71</v>
      </c>
      <c r="Q37" s="47" t="s">
        <v>71</v>
      </c>
      <c r="R37" s="47" t="s">
        <v>71</v>
      </c>
      <c r="S37" s="47" t="s">
        <v>71</v>
      </c>
      <c r="T37" s="47" t="s">
        <v>71</v>
      </c>
      <c r="U37" s="49">
        <v>904</v>
      </c>
      <c r="V37" s="49">
        <v>1371</v>
      </c>
      <c r="W37" s="49">
        <v>675</v>
      </c>
      <c r="X37" s="57"/>
    </row>
    <row r="38" spans="1:25" s="17" customFormat="1" x14ac:dyDescent="0.25">
      <c r="A38" s="17" t="s">
        <v>200</v>
      </c>
      <c r="B38" s="17" t="s">
        <v>202</v>
      </c>
      <c r="C38" s="17" t="s">
        <v>198</v>
      </c>
      <c r="D38" s="49">
        <v>12.85</v>
      </c>
      <c r="E38" s="47" t="s">
        <v>71</v>
      </c>
      <c r="F38" s="47">
        <v>12</v>
      </c>
      <c r="G38" s="52">
        <f>U38</f>
        <v>-4.9783379999999999</v>
      </c>
      <c r="H38" s="52">
        <f>V38</f>
        <v>-4.4934839999999996</v>
      </c>
      <c r="I38" s="52">
        <f>W38</f>
        <v>-5.5775430000000004</v>
      </c>
      <c r="J38" s="48">
        <f>U38/$D$38</f>
        <v>-0.38741929961089494</v>
      </c>
      <c r="K38" s="48">
        <f>V38/$D$38</f>
        <v>-0.34968747081712059</v>
      </c>
      <c r="L38" s="48">
        <f>W38/$D$38</f>
        <v>-0.43405003891050586</v>
      </c>
      <c r="M38" s="47" t="s">
        <v>71</v>
      </c>
      <c r="N38" s="47" t="s">
        <v>71</v>
      </c>
      <c r="O38" s="47" t="s">
        <v>71</v>
      </c>
      <c r="P38" s="47" t="s">
        <v>71</v>
      </c>
      <c r="Q38" s="47" t="s">
        <v>71</v>
      </c>
      <c r="R38" s="47" t="s">
        <v>71</v>
      </c>
      <c r="S38" s="47" t="s">
        <v>71</v>
      </c>
      <c r="T38" s="47" t="s">
        <v>71</v>
      </c>
      <c r="U38" s="52">
        <v>-4.9783379999999999</v>
      </c>
      <c r="V38" s="52">
        <v>-4.4934839999999996</v>
      </c>
      <c r="W38" s="52">
        <v>-5.5775430000000004</v>
      </c>
      <c r="X38" s="57"/>
    </row>
    <row r="39" spans="1:25" s="17" customFormat="1" x14ac:dyDescent="0.25">
      <c r="A39" s="17" t="s">
        <v>200</v>
      </c>
      <c r="B39" s="17" t="s">
        <v>201</v>
      </c>
      <c r="C39" s="17" t="s">
        <v>175</v>
      </c>
      <c r="D39" s="47">
        <v>20.3</v>
      </c>
      <c r="E39" s="47" t="s">
        <v>71</v>
      </c>
      <c r="F39" s="47">
        <v>14</v>
      </c>
      <c r="G39" s="52">
        <f>U39</f>
        <v>18.042159999999999</v>
      </c>
      <c r="H39" s="52">
        <f>V39</f>
        <v>45.233789999999999</v>
      </c>
      <c r="I39" s="52">
        <f>W39</f>
        <v>11.192539999999999</v>
      </c>
      <c r="J39" s="48">
        <f>U39/$D$39</f>
        <v>0.88877635467980287</v>
      </c>
      <c r="K39" s="48">
        <f>V39/$D$39</f>
        <v>2.228265517241379</v>
      </c>
      <c r="L39" s="48">
        <f>W39/$D$39</f>
        <v>0.55135665024630531</v>
      </c>
      <c r="M39" s="47" t="s">
        <v>71</v>
      </c>
      <c r="N39" s="47" t="s">
        <v>71</v>
      </c>
      <c r="O39" s="47" t="s">
        <v>71</v>
      </c>
      <c r="P39" s="47" t="s">
        <v>71</v>
      </c>
      <c r="Q39" s="47" t="s">
        <v>71</v>
      </c>
      <c r="R39" s="47" t="s">
        <v>71</v>
      </c>
      <c r="S39" s="47" t="s">
        <v>71</v>
      </c>
      <c r="T39" s="47" t="s">
        <v>71</v>
      </c>
      <c r="U39" s="52">
        <v>18.042159999999999</v>
      </c>
      <c r="V39" s="52">
        <v>45.233789999999999</v>
      </c>
      <c r="W39" s="52">
        <v>11.192539999999999</v>
      </c>
      <c r="X39" s="57"/>
    </row>
    <row r="40" spans="1:25" s="17" customFormat="1" x14ac:dyDescent="0.25">
      <c r="A40" s="17" t="s">
        <v>200</v>
      </c>
      <c r="B40" s="56" t="s">
        <v>199</v>
      </c>
      <c r="C40" s="17" t="s">
        <v>198</v>
      </c>
      <c r="D40" s="47">
        <v>0.56999999999999995</v>
      </c>
      <c r="E40" s="47" t="s">
        <v>71</v>
      </c>
      <c r="F40" s="47">
        <v>15</v>
      </c>
      <c r="G40" s="52">
        <f>U40</f>
        <v>-0.54721779999999998</v>
      </c>
      <c r="H40" s="52">
        <f>V40</f>
        <v>-0.35146769999999999</v>
      </c>
      <c r="I40" s="52">
        <f>W40</f>
        <v>-1.2115610000000001</v>
      </c>
      <c r="J40" s="48">
        <f>U40/$D$40</f>
        <v>-0.96003122807017549</v>
      </c>
      <c r="K40" s="48">
        <f>V40/$D$40</f>
        <v>-0.61660999999999999</v>
      </c>
      <c r="L40" s="48">
        <f>W40/$D$40</f>
        <v>-2.1255456140350879</v>
      </c>
      <c r="M40" s="47" t="s">
        <v>71</v>
      </c>
      <c r="N40" s="47" t="s">
        <v>71</v>
      </c>
      <c r="O40" s="47" t="s">
        <v>71</v>
      </c>
      <c r="P40" s="47" t="s">
        <v>71</v>
      </c>
      <c r="Q40" s="47" t="s">
        <v>71</v>
      </c>
      <c r="R40" s="47" t="s">
        <v>71</v>
      </c>
      <c r="S40" s="47" t="s">
        <v>71</v>
      </c>
      <c r="T40" s="47" t="s">
        <v>71</v>
      </c>
      <c r="U40" s="52">
        <v>-0.54721779999999998</v>
      </c>
      <c r="V40" s="52">
        <v>-0.35146769999999999</v>
      </c>
      <c r="W40" s="52">
        <v>-1.2115610000000001</v>
      </c>
    </row>
    <row r="41" spans="1:25" s="17" customFormat="1" x14ac:dyDescent="0.25">
      <c r="A41" s="17" t="s">
        <v>195</v>
      </c>
      <c r="B41" s="17" t="s">
        <v>197</v>
      </c>
      <c r="C41" s="17" t="s">
        <v>196</v>
      </c>
      <c r="D41" s="49">
        <v>360.12</v>
      </c>
      <c r="E41" s="47" t="s">
        <v>71</v>
      </c>
      <c r="F41" s="47">
        <v>7</v>
      </c>
      <c r="G41" s="49">
        <f>U41</f>
        <v>-110</v>
      </c>
      <c r="H41" s="47" t="s">
        <v>71</v>
      </c>
      <c r="I41" s="47" t="s">
        <v>71</v>
      </c>
      <c r="J41" s="48">
        <f>U41/Fig2Fig3Context!F32</f>
        <v>-0.27572692009732708</v>
      </c>
      <c r="K41" s="47" t="s">
        <v>71</v>
      </c>
      <c r="L41" s="47" t="s">
        <v>71</v>
      </c>
      <c r="M41" s="47" t="s">
        <v>71</v>
      </c>
      <c r="N41" s="47" t="s">
        <v>71</v>
      </c>
      <c r="O41" s="47" t="s">
        <v>71</v>
      </c>
      <c r="P41" s="47" t="s">
        <v>71</v>
      </c>
      <c r="Q41" s="47" t="s">
        <v>71</v>
      </c>
      <c r="R41" s="47" t="s">
        <v>71</v>
      </c>
      <c r="S41" s="47" t="s">
        <v>71</v>
      </c>
      <c r="T41" s="47" t="s">
        <v>71</v>
      </c>
      <c r="U41" s="49">
        <v>-110</v>
      </c>
      <c r="V41" s="47" t="s">
        <v>71</v>
      </c>
      <c r="W41" s="47" t="s">
        <v>71</v>
      </c>
    </row>
    <row r="42" spans="1:25" s="17" customFormat="1" x14ac:dyDescent="0.25">
      <c r="A42" s="17" t="s">
        <v>195</v>
      </c>
      <c r="B42" s="17" t="s">
        <v>194</v>
      </c>
      <c r="C42" s="17" t="s">
        <v>151</v>
      </c>
      <c r="D42" s="52">
        <f>2030.97181059712/1000</f>
        <v>2.0309718105971202</v>
      </c>
      <c r="E42" s="47" t="s">
        <v>71</v>
      </c>
      <c r="F42" s="47">
        <v>8</v>
      </c>
      <c r="G42" s="52">
        <f>U42</f>
        <v>1.3826935245836804</v>
      </c>
      <c r="H42" s="47" t="s">
        <v>71</v>
      </c>
      <c r="I42" s="47" t="s">
        <v>71</v>
      </c>
      <c r="J42" s="48">
        <f>U42/Fig2Fig3Context!F33</f>
        <v>0.50842181915714113</v>
      </c>
      <c r="K42" s="47" t="s">
        <v>71</v>
      </c>
      <c r="L42" s="47" t="s">
        <v>71</v>
      </c>
      <c r="M42" s="47" t="s">
        <v>71</v>
      </c>
      <c r="N42" s="47" t="s">
        <v>71</v>
      </c>
      <c r="O42" s="47" t="s">
        <v>71</v>
      </c>
      <c r="P42" s="47" t="s">
        <v>71</v>
      </c>
      <c r="Q42" s="47" t="s">
        <v>71</v>
      </c>
      <c r="R42" s="47" t="s">
        <v>71</v>
      </c>
      <c r="S42" s="47" t="s">
        <v>71</v>
      </c>
      <c r="T42" s="47" t="s">
        <v>71</v>
      </c>
      <c r="U42" s="52">
        <v>1.3826935245836804</v>
      </c>
      <c r="V42" s="47" t="s">
        <v>71</v>
      </c>
      <c r="W42" s="47" t="s">
        <v>71</v>
      </c>
    </row>
    <row r="43" spans="1:25" s="17" customFormat="1" x14ac:dyDescent="0.25"/>
    <row r="44" spans="1:25" s="17" customFormat="1" x14ac:dyDescent="0.25"/>
    <row r="45" spans="1:25" s="17" customFormat="1" x14ac:dyDescent="0.25"/>
    <row r="46" spans="1:25" s="17" customFormat="1" x14ac:dyDescent="0.25"/>
    <row r="47" spans="1:25" s="17" customFormat="1" x14ac:dyDescent="0.25"/>
    <row r="48" spans="1:25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61" s="17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7D73-D054-4810-8ADC-EB34ECBC3453}">
  <dimension ref="B1:J72"/>
  <sheetViews>
    <sheetView workbookViewId="0"/>
  </sheetViews>
  <sheetFormatPr defaultRowHeight="15" x14ac:dyDescent="0.25"/>
  <cols>
    <col min="1" max="1" width="9.140625" style="17"/>
    <col min="2" max="2" width="2.85546875" style="17" customWidth="1"/>
    <col min="3" max="3" width="50.5703125" style="17" customWidth="1"/>
    <col min="4" max="4" width="9.5703125" style="17" bestFit="1" customWidth="1"/>
    <col min="5" max="5" width="12.5703125" style="17" bestFit="1" customWidth="1"/>
    <col min="6" max="16384" width="9.140625" style="17"/>
  </cols>
  <sheetData>
    <row r="1" spans="2:7" s="17" customFormat="1" x14ac:dyDescent="0.25">
      <c r="B1" s="16"/>
    </row>
    <row r="2" spans="2:7" s="17" customFormat="1" x14ac:dyDescent="0.25"/>
    <row r="3" spans="2:7" s="17" customFormat="1" x14ac:dyDescent="0.25">
      <c r="B3" s="7" t="s">
        <v>193</v>
      </c>
    </row>
    <row r="4" spans="2:7" s="17" customFormat="1" x14ac:dyDescent="0.25"/>
    <row r="5" spans="2:7" s="17" customFormat="1" x14ac:dyDescent="0.25">
      <c r="C5" s="18" t="s">
        <v>166</v>
      </c>
      <c r="D5" s="19" t="s">
        <v>165</v>
      </c>
      <c r="E5" s="19" t="s">
        <v>164</v>
      </c>
      <c r="F5" s="19" t="s">
        <v>185</v>
      </c>
      <c r="G5" s="20" t="s">
        <v>184</v>
      </c>
    </row>
    <row r="6" spans="2:7" s="17" customFormat="1" x14ac:dyDescent="0.25">
      <c r="C6" s="21" t="s">
        <v>159</v>
      </c>
      <c r="D6" s="17">
        <v>2024</v>
      </c>
      <c r="E6" s="17" t="s">
        <v>154</v>
      </c>
      <c r="F6" s="22">
        <v>30914.83</v>
      </c>
      <c r="G6" s="23">
        <v>1</v>
      </c>
    </row>
    <row r="7" spans="2:7" s="17" customFormat="1" x14ac:dyDescent="0.25">
      <c r="C7" s="21" t="s">
        <v>192</v>
      </c>
      <c r="D7" s="17">
        <v>2023</v>
      </c>
      <c r="E7" s="17" t="s">
        <v>169</v>
      </c>
      <c r="F7" s="22">
        <v>97</v>
      </c>
      <c r="G7" s="23">
        <v>2</v>
      </c>
    </row>
    <row r="8" spans="2:7" s="17" customFormat="1" x14ac:dyDescent="0.25">
      <c r="C8" s="21" t="s">
        <v>158</v>
      </c>
      <c r="D8" s="17">
        <v>2020</v>
      </c>
      <c r="E8" s="17" t="s">
        <v>156</v>
      </c>
      <c r="F8" s="24">
        <v>69.485960340752513</v>
      </c>
      <c r="G8" s="25">
        <v>3</v>
      </c>
    </row>
    <row r="9" spans="2:7" s="17" customFormat="1" x14ac:dyDescent="0.25">
      <c r="C9" s="21" t="s">
        <v>155</v>
      </c>
      <c r="D9" s="17">
        <v>2020</v>
      </c>
      <c r="E9" s="17" t="s">
        <v>154</v>
      </c>
      <c r="F9" s="22">
        <v>11050.227144381759</v>
      </c>
      <c r="G9" s="25">
        <v>3</v>
      </c>
    </row>
    <row r="10" spans="2:7" s="17" customFormat="1" x14ac:dyDescent="0.25">
      <c r="C10" s="21" t="s">
        <v>191</v>
      </c>
      <c r="D10" s="17">
        <v>2020</v>
      </c>
      <c r="E10" s="17" t="s">
        <v>190</v>
      </c>
      <c r="F10" s="22">
        <v>906.95725093600004</v>
      </c>
      <c r="G10" s="25">
        <v>4</v>
      </c>
    </row>
    <row r="11" spans="2:7" s="17" customFormat="1" x14ac:dyDescent="0.25">
      <c r="C11" s="21" t="s">
        <v>189</v>
      </c>
      <c r="D11" s="17">
        <v>2020</v>
      </c>
      <c r="E11" s="17" t="s">
        <v>151</v>
      </c>
      <c r="F11" s="24">
        <v>2.1795505374233453</v>
      </c>
      <c r="G11" s="25">
        <v>3</v>
      </c>
    </row>
    <row r="12" spans="2:7" s="17" customFormat="1" x14ac:dyDescent="0.25">
      <c r="C12" s="21" t="s">
        <v>188</v>
      </c>
      <c r="D12" s="17">
        <v>2020</v>
      </c>
      <c r="E12" s="17" t="s">
        <v>151</v>
      </c>
      <c r="F12" s="24">
        <v>4.3625501270486513</v>
      </c>
      <c r="G12" s="25">
        <v>3</v>
      </c>
    </row>
    <row r="13" spans="2:7" s="17" customFormat="1" x14ac:dyDescent="0.25">
      <c r="C13" s="21" t="s">
        <v>182</v>
      </c>
      <c r="D13" s="26" t="s">
        <v>187</v>
      </c>
      <c r="E13" s="17" t="s">
        <v>175</v>
      </c>
      <c r="F13" s="22">
        <v>369</v>
      </c>
      <c r="G13" s="25">
        <v>5</v>
      </c>
    </row>
    <row r="14" spans="2:7" s="17" customFormat="1" x14ac:dyDescent="0.25">
      <c r="C14" s="21" t="s">
        <v>181</v>
      </c>
      <c r="D14" s="26" t="s">
        <v>187</v>
      </c>
      <c r="E14" s="17" t="s">
        <v>175</v>
      </c>
      <c r="F14" s="22">
        <v>421</v>
      </c>
      <c r="G14" s="25">
        <v>5</v>
      </c>
    </row>
    <row r="15" spans="2:7" s="17" customFormat="1" x14ac:dyDescent="0.25">
      <c r="C15" s="21" t="s">
        <v>180</v>
      </c>
      <c r="D15" s="26" t="s">
        <v>187</v>
      </c>
      <c r="E15" s="17" t="s">
        <v>175</v>
      </c>
      <c r="F15" s="22">
        <v>417</v>
      </c>
      <c r="G15" s="25">
        <v>5</v>
      </c>
    </row>
    <row r="16" spans="2:7" s="17" customFormat="1" x14ac:dyDescent="0.25">
      <c r="C16" s="21" t="s">
        <v>179</v>
      </c>
      <c r="D16" s="26" t="s">
        <v>187</v>
      </c>
      <c r="E16" s="17" t="s">
        <v>175</v>
      </c>
      <c r="F16" s="22">
        <v>285</v>
      </c>
      <c r="G16" s="25">
        <v>5</v>
      </c>
    </row>
    <row r="17" spans="2:10" s="17" customFormat="1" x14ac:dyDescent="0.25">
      <c r="C17" s="21" t="s">
        <v>178</v>
      </c>
      <c r="D17" s="26" t="s">
        <v>187</v>
      </c>
      <c r="E17" s="17" t="s">
        <v>175</v>
      </c>
      <c r="F17" s="22">
        <v>1499.5</v>
      </c>
      <c r="G17" s="25">
        <v>5</v>
      </c>
    </row>
    <row r="18" spans="2:10" s="17" customFormat="1" x14ac:dyDescent="0.25">
      <c r="C18" s="21" t="s">
        <v>177</v>
      </c>
      <c r="D18" s="26" t="s">
        <v>187</v>
      </c>
      <c r="E18" s="17" t="s">
        <v>175</v>
      </c>
      <c r="F18" s="22">
        <v>645</v>
      </c>
      <c r="G18" s="25">
        <v>5</v>
      </c>
    </row>
    <row r="19" spans="2:10" s="17" customFormat="1" x14ac:dyDescent="0.25">
      <c r="C19" s="27" t="s">
        <v>176</v>
      </c>
      <c r="D19" s="28" t="s">
        <v>187</v>
      </c>
      <c r="E19" s="29" t="s">
        <v>175</v>
      </c>
      <c r="F19" s="30">
        <v>1623.5</v>
      </c>
      <c r="G19" s="31">
        <v>5</v>
      </c>
    </row>
    <row r="20" spans="2:10" s="17" customFormat="1" x14ac:dyDescent="0.25">
      <c r="F20" s="22"/>
    </row>
    <row r="21" spans="2:10" s="17" customFormat="1" x14ac:dyDescent="0.25">
      <c r="B21" s="7" t="s">
        <v>186</v>
      </c>
    </row>
    <row r="22" spans="2:10" s="17" customFormat="1" x14ac:dyDescent="0.25"/>
    <row r="23" spans="2:10" s="17" customFormat="1" x14ac:dyDescent="0.25">
      <c r="C23" s="18" t="s">
        <v>166</v>
      </c>
      <c r="D23" s="19" t="s">
        <v>165</v>
      </c>
      <c r="E23" s="19" t="s">
        <v>164</v>
      </c>
      <c r="F23" s="32" t="s">
        <v>185</v>
      </c>
      <c r="G23" s="20" t="s">
        <v>184</v>
      </c>
    </row>
    <row r="24" spans="2:10" s="17" customFormat="1" ht="18" x14ac:dyDescent="0.35">
      <c r="C24" s="21" t="s">
        <v>183</v>
      </c>
      <c r="D24" s="17">
        <v>2050</v>
      </c>
      <c r="E24" s="17" t="s">
        <v>290</v>
      </c>
      <c r="F24" s="22">
        <v>46</v>
      </c>
      <c r="G24" s="25">
        <v>6</v>
      </c>
    </row>
    <row r="25" spans="2:10" s="17" customFormat="1" x14ac:dyDescent="0.25">
      <c r="C25" s="21" t="s">
        <v>182</v>
      </c>
      <c r="D25" s="17">
        <v>2050</v>
      </c>
      <c r="E25" s="17" t="s">
        <v>175</v>
      </c>
      <c r="F25" s="22">
        <v>427.5</v>
      </c>
      <c r="G25" s="25">
        <v>5</v>
      </c>
    </row>
    <row r="26" spans="2:10" s="17" customFormat="1" x14ac:dyDescent="0.25">
      <c r="C26" s="21" t="s">
        <v>181</v>
      </c>
      <c r="D26" s="17">
        <v>2050</v>
      </c>
      <c r="E26" s="17" t="s">
        <v>175</v>
      </c>
      <c r="F26" s="22">
        <v>423</v>
      </c>
      <c r="G26" s="25">
        <v>5</v>
      </c>
    </row>
    <row r="27" spans="2:10" s="17" customFormat="1" x14ac:dyDescent="0.25">
      <c r="C27" s="21" t="s">
        <v>180</v>
      </c>
      <c r="D27" s="17">
        <v>2050</v>
      </c>
      <c r="E27" s="17" t="s">
        <v>175</v>
      </c>
      <c r="F27" s="22">
        <v>437</v>
      </c>
      <c r="G27" s="25">
        <v>5</v>
      </c>
    </row>
    <row r="28" spans="2:10" s="17" customFormat="1" x14ac:dyDescent="0.25">
      <c r="C28" s="21" t="s">
        <v>179</v>
      </c>
      <c r="D28" s="17">
        <v>2050</v>
      </c>
      <c r="E28" s="17" t="s">
        <v>175</v>
      </c>
      <c r="F28" s="22">
        <v>274.5</v>
      </c>
      <c r="G28" s="25">
        <v>5</v>
      </c>
    </row>
    <row r="29" spans="2:10" s="17" customFormat="1" x14ac:dyDescent="0.25">
      <c r="C29" s="21" t="s">
        <v>178</v>
      </c>
      <c r="D29" s="17">
        <v>2050</v>
      </c>
      <c r="E29" s="17" t="s">
        <v>175</v>
      </c>
      <c r="F29" s="22">
        <v>1576.5</v>
      </c>
      <c r="G29" s="25">
        <v>5</v>
      </c>
    </row>
    <row r="30" spans="2:10" s="17" customFormat="1" x14ac:dyDescent="0.25">
      <c r="C30" s="21" t="s">
        <v>177</v>
      </c>
      <c r="D30" s="17">
        <v>2050</v>
      </c>
      <c r="E30" s="17" t="s">
        <v>175</v>
      </c>
      <c r="F30" s="22">
        <v>623</v>
      </c>
      <c r="G30" s="25">
        <v>5</v>
      </c>
      <c r="J30" s="33"/>
    </row>
    <row r="31" spans="2:10" s="17" customFormat="1" x14ac:dyDescent="0.25">
      <c r="C31" s="21" t="s">
        <v>176</v>
      </c>
      <c r="D31" s="17">
        <v>2050</v>
      </c>
      <c r="E31" s="17" t="s">
        <v>175</v>
      </c>
      <c r="F31" s="22">
        <v>1623.5</v>
      </c>
      <c r="G31" s="25">
        <v>5</v>
      </c>
    </row>
    <row r="32" spans="2:10" s="17" customFormat="1" x14ac:dyDescent="0.25">
      <c r="C32" s="21" t="s">
        <v>174</v>
      </c>
      <c r="D32" s="17">
        <v>2050</v>
      </c>
      <c r="E32" s="17" t="s">
        <v>173</v>
      </c>
      <c r="F32" s="22">
        <v>398.94544921900189</v>
      </c>
      <c r="G32" s="25">
        <v>7</v>
      </c>
    </row>
    <row r="33" spans="2:9" s="17" customFormat="1" x14ac:dyDescent="0.25">
      <c r="C33" s="21" t="s">
        <v>172</v>
      </c>
      <c r="D33" s="17">
        <v>2050</v>
      </c>
      <c r="E33" s="17" t="s">
        <v>151</v>
      </c>
      <c r="F33" s="24">
        <v>2.7195794367674897</v>
      </c>
      <c r="G33" s="25">
        <v>8</v>
      </c>
    </row>
    <row r="34" spans="2:9" s="17" customFormat="1" x14ac:dyDescent="0.25">
      <c r="C34" s="21" t="s">
        <v>171</v>
      </c>
      <c r="D34" s="17">
        <v>2050</v>
      </c>
      <c r="E34" s="17" t="s">
        <v>169</v>
      </c>
      <c r="F34" s="22">
        <v>200</v>
      </c>
      <c r="G34" s="25">
        <v>9</v>
      </c>
    </row>
    <row r="35" spans="2:9" s="17" customFormat="1" x14ac:dyDescent="0.25">
      <c r="C35" s="27" t="s">
        <v>170</v>
      </c>
      <c r="D35" s="29">
        <v>2050</v>
      </c>
      <c r="E35" s="29" t="s">
        <v>169</v>
      </c>
      <c r="F35" s="30">
        <v>600</v>
      </c>
      <c r="G35" s="31">
        <v>9</v>
      </c>
    </row>
    <row r="36" spans="2:9" s="17" customFormat="1" x14ac:dyDescent="0.25">
      <c r="F36" s="22"/>
    </row>
    <row r="37" spans="2:9" s="17" customFormat="1" x14ac:dyDescent="0.25">
      <c r="B37" s="7" t="s">
        <v>168</v>
      </c>
      <c r="F37" s="22"/>
    </row>
    <row r="38" spans="2:9" s="17" customFormat="1" x14ac:dyDescent="0.25"/>
    <row r="39" spans="2:9" s="17" customFormat="1" x14ac:dyDescent="0.25">
      <c r="F39" s="34" t="s">
        <v>167</v>
      </c>
      <c r="G39" s="35"/>
      <c r="H39" s="35"/>
      <c r="I39" s="36"/>
    </row>
    <row r="40" spans="2:9" s="17" customFormat="1" x14ac:dyDescent="0.25">
      <c r="C40" s="18" t="s">
        <v>166</v>
      </c>
      <c r="D40" s="19" t="s">
        <v>165</v>
      </c>
      <c r="E40" s="19" t="s">
        <v>164</v>
      </c>
      <c r="F40" s="37" t="s">
        <v>163</v>
      </c>
      <c r="G40" s="38" t="s">
        <v>162</v>
      </c>
      <c r="H40" s="38" t="s">
        <v>161</v>
      </c>
      <c r="I40" s="39" t="s">
        <v>160</v>
      </c>
    </row>
    <row r="41" spans="2:9" s="17" customFormat="1" x14ac:dyDescent="0.25">
      <c r="C41" s="21" t="s">
        <v>159</v>
      </c>
      <c r="D41" s="17">
        <v>2050</v>
      </c>
      <c r="E41" s="17" t="s">
        <v>154</v>
      </c>
      <c r="F41" s="40">
        <v>43833.923133164892</v>
      </c>
      <c r="G41" s="40">
        <v>41665.736086158518</v>
      </c>
      <c r="H41" s="40">
        <v>61617.455072704513</v>
      </c>
      <c r="I41" s="41">
        <v>34405.716184003606</v>
      </c>
    </row>
    <row r="42" spans="2:9" s="17" customFormat="1" x14ac:dyDescent="0.25">
      <c r="C42" s="21" t="s">
        <v>158</v>
      </c>
      <c r="D42" s="17">
        <v>2050</v>
      </c>
      <c r="E42" s="17" t="s">
        <v>154</v>
      </c>
      <c r="F42" s="40">
        <v>104.75817043097416</v>
      </c>
      <c r="G42" s="40">
        <v>104.7581704309742</v>
      </c>
      <c r="H42" s="40">
        <v>123.25860962212907</v>
      </c>
      <c r="I42" s="41">
        <v>111.30211817130605</v>
      </c>
    </row>
    <row r="43" spans="2:9" s="17" customFormat="1" x14ac:dyDescent="0.25">
      <c r="C43" s="21" t="s">
        <v>157</v>
      </c>
      <c r="D43" s="17">
        <v>2050</v>
      </c>
      <c r="E43" s="17" t="s">
        <v>156</v>
      </c>
      <c r="F43" s="40">
        <v>11.62</v>
      </c>
      <c r="G43" s="40">
        <v>11.62</v>
      </c>
      <c r="H43" s="40">
        <v>25.9</v>
      </c>
      <c r="I43" s="41">
        <v>19.239999999999998</v>
      </c>
    </row>
    <row r="44" spans="2:9" s="17" customFormat="1" x14ac:dyDescent="0.25">
      <c r="C44" s="21" t="s">
        <v>155</v>
      </c>
      <c r="D44" s="17">
        <v>2050</v>
      </c>
      <c r="E44" s="17" t="s">
        <v>154</v>
      </c>
      <c r="F44" s="40">
        <v>15104.882101872166</v>
      </c>
      <c r="G44" s="40">
        <v>14691.286953140809</v>
      </c>
      <c r="H44" s="40">
        <v>17503.343261838108</v>
      </c>
      <c r="I44" s="41">
        <v>9796.5494007005873</v>
      </c>
    </row>
    <row r="45" spans="2:9" s="17" customFormat="1" x14ac:dyDescent="0.25">
      <c r="C45" s="21" t="s">
        <v>153</v>
      </c>
      <c r="D45" s="17">
        <v>2050</v>
      </c>
      <c r="E45" s="17" t="s">
        <v>151</v>
      </c>
      <c r="F45" s="24">
        <v>3.1778498279578726</v>
      </c>
      <c r="G45" s="24">
        <v>3.1125798929048347</v>
      </c>
      <c r="H45" s="24">
        <v>4.2905098431786142</v>
      </c>
      <c r="I45" s="42">
        <v>2.8900105021101643</v>
      </c>
    </row>
    <row r="46" spans="2:9" s="17" customFormat="1" x14ac:dyDescent="0.25">
      <c r="C46" s="21" t="s">
        <v>152</v>
      </c>
      <c r="D46" s="17">
        <v>2050</v>
      </c>
      <c r="E46" s="17" t="s">
        <v>151</v>
      </c>
      <c r="F46" s="43">
        <v>4.7409568368258723</v>
      </c>
      <c r="G46" s="43">
        <v>4.595203630999297</v>
      </c>
      <c r="H46" s="43">
        <v>7.819488123387198</v>
      </c>
      <c r="I46" s="44">
        <v>5.133683640425728</v>
      </c>
    </row>
    <row r="47" spans="2:9" s="17" customFormat="1" ht="18" x14ac:dyDescent="0.35">
      <c r="C47" s="21" t="s">
        <v>150</v>
      </c>
      <c r="D47" s="26" t="s">
        <v>149</v>
      </c>
      <c r="E47" s="17" t="s">
        <v>290</v>
      </c>
      <c r="F47" s="43">
        <v>69.375967175284913</v>
      </c>
      <c r="G47" s="43">
        <v>63.275379996272569</v>
      </c>
      <c r="H47" s="43">
        <v>75.794238007392593</v>
      </c>
      <c r="I47" s="44">
        <v>66.013670082060798</v>
      </c>
    </row>
    <row r="48" spans="2:9" s="17" customFormat="1" ht="18" x14ac:dyDescent="0.35">
      <c r="C48" s="27" t="s">
        <v>148</v>
      </c>
      <c r="D48" s="29">
        <v>2050</v>
      </c>
      <c r="E48" s="29" t="s">
        <v>290</v>
      </c>
      <c r="F48" s="45">
        <v>5.2487469999999998</v>
      </c>
      <c r="G48" s="45">
        <v>4.5999670000000004</v>
      </c>
      <c r="H48" s="45">
        <v>7.0066639999999998</v>
      </c>
      <c r="I48" s="46">
        <v>5.7998539999999998</v>
      </c>
    </row>
    <row r="49" spans="2:9" s="17" customFormat="1" x14ac:dyDescent="0.25">
      <c r="F49" s="24"/>
      <c r="G49" s="24"/>
      <c r="H49" s="24"/>
      <c r="I49" s="24"/>
    </row>
    <row r="50" spans="2:9" s="17" customFormat="1" x14ac:dyDescent="0.25"/>
    <row r="51" spans="2:9" s="17" customFormat="1" x14ac:dyDescent="0.25">
      <c r="B51" s="7" t="s">
        <v>147</v>
      </c>
    </row>
    <row r="52" spans="2:9" s="17" customFormat="1" x14ac:dyDescent="0.25">
      <c r="B52" s="17">
        <v>1</v>
      </c>
      <c r="C52" s="17" t="s">
        <v>146</v>
      </c>
    </row>
    <row r="53" spans="2:9" s="17" customFormat="1" x14ac:dyDescent="0.25">
      <c r="B53" s="17">
        <v>2</v>
      </c>
      <c r="C53" s="17" t="s">
        <v>145</v>
      </c>
    </row>
    <row r="54" spans="2:9" s="17" customFormat="1" x14ac:dyDescent="0.25">
      <c r="B54" s="17">
        <v>3</v>
      </c>
      <c r="C54" s="17" t="s">
        <v>144</v>
      </c>
    </row>
    <row r="55" spans="2:9" s="17" customFormat="1" x14ac:dyDescent="0.25">
      <c r="B55" s="17">
        <v>4</v>
      </c>
      <c r="C55" s="17" t="s">
        <v>143</v>
      </c>
    </row>
    <row r="56" spans="2:9" s="17" customFormat="1" x14ac:dyDescent="0.25">
      <c r="B56" s="17">
        <v>5</v>
      </c>
      <c r="C56" s="17" t="s">
        <v>142</v>
      </c>
    </row>
    <row r="57" spans="2:9" s="17" customFormat="1" x14ac:dyDescent="0.25">
      <c r="B57" s="17">
        <v>6</v>
      </c>
      <c r="C57" s="17" t="s">
        <v>141</v>
      </c>
    </row>
    <row r="58" spans="2:9" s="17" customFormat="1" x14ac:dyDescent="0.25">
      <c r="B58" s="17">
        <v>7</v>
      </c>
      <c r="C58" s="17" t="s">
        <v>140</v>
      </c>
    </row>
    <row r="59" spans="2:9" s="17" customFormat="1" x14ac:dyDescent="0.25">
      <c r="B59" s="17">
        <v>8</v>
      </c>
      <c r="C59" s="17" t="s">
        <v>139</v>
      </c>
    </row>
    <row r="60" spans="2:9" s="17" customFormat="1" x14ac:dyDescent="0.25">
      <c r="B60" s="17">
        <v>9</v>
      </c>
      <c r="C60" s="17" t="s">
        <v>138</v>
      </c>
    </row>
    <row r="61" spans="2:9" s="17" customFormat="1" x14ac:dyDescent="0.25">
      <c r="B61" s="17">
        <v>10</v>
      </c>
      <c r="C61" s="17" t="s">
        <v>137</v>
      </c>
    </row>
    <row r="62" spans="2:9" s="17" customFormat="1" x14ac:dyDescent="0.25">
      <c r="B62" s="17">
        <v>11</v>
      </c>
      <c r="C62" s="17" t="s">
        <v>136</v>
      </c>
    </row>
    <row r="63" spans="2:9" s="17" customFormat="1" x14ac:dyDescent="0.25">
      <c r="B63" s="17">
        <v>12</v>
      </c>
      <c r="C63" s="17" t="s">
        <v>135</v>
      </c>
    </row>
    <row r="64" spans="2:9" s="17" customFormat="1" x14ac:dyDescent="0.25">
      <c r="B64" s="17">
        <v>13</v>
      </c>
      <c r="C64" s="17" t="s">
        <v>134</v>
      </c>
    </row>
    <row r="65" spans="2:3" s="17" customFormat="1" x14ac:dyDescent="0.25">
      <c r="B65" s="17">
        <v>14</v>
      </c>
      <c r="C65" s="17" t="s">
        <v>133</v>
      </c>
    </row>
    <row r="66" spans="2:3" s="17" customFormat="1" x14ac:dyDescent="0.25">
      <c r="B66" s="17">
        <v>15</v>
      </c>
      <c r="C66" s="17" t="s">
        <v>132</v>
      </c>
    </row>
    <row r="67" spans="2:3" s="17" customFormat="1" x14ac:dyDescent="0.25"/>
    <row r="68" spans="2:3" s="17" customFormat="1" x14ac:dyDescent="0.25">
      <c r="B68" s="7" t="s">
        <v>131</v>
      </c>
    </row>
    <row r="69" spans="2:3" s="17" customFormat="1" x14ac:dyDescent="0.25">
      <c r="B69" s="17" t="s">
        <v>130</v>
      </c>
      <c r="C69" s="17" t="s">
        <v>129</v>
      </c>
    </row>
    <row r="70" spans="2:3" s="17" customFormat="1" x14ac:dyDescent="0.25"/>
    <row r="71" spans="2:3" s="17" customFormat="1" x14ac:dyDescent="0.25"/>
    <row r="72" spans="2:3" s="17" customFormat="1" x14ac:dyDescent="0.25"/>
  </sheetData>
  <mergeCells count="1">
    <mergeCell ref="F39:I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E443-F0A2-4AF4-B019-88A424862813}">
  <dimension ref="A1:P2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8.85546875" bestFit="1" customWidth="1"/>
    <col min="3" max="3" width="18.28515625" bestFit="1" customWidth="1"/>
    <col min="4" max="4" width="52" bestFit="1" customWidth="1"/>
    <col min="5" max="5" width="11.85546875" bestFit="1" customWidth="1"/>
    <col min="6" max="16" width="8.140625" customWidth="1"/>
  </cols>
  <sheetData>
    <row r="1" spans="1:16" s="7" customFormat="1" ht="30" x14ac:dyDescent="0.25">
      <c r="A1" s="2" t="s">
        <v>65</v>
      </c>
      <c r="B1" s="2" t="s">
        <v>57</v>
      </c>
      <c r="C1" s="2" t="s">
        <v>64</v>
      </c>
      <c r="D1" s="2" t="s">
        <v>56</v>
      </c>
      <c r="E1" s="2" t="s">
        <v>74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85</v>
      </c>
      <c r="M1" s="2" t="s">
        <v>84</v>
      </c>
      <c r="N1" s="2" t="s">
        <v>86</v>
      </c>
      <c r="O1" s="2" t="s">
        <v>88</v>
      </c>
      <c r="P1" s="2" t="s">
        <v>87</v>
      </c>
    </row>
    <row r="2" spans="1:16" x14ac:dyDescent="0.25">
      <c r="A2" t="s">
        <v>66</v>
      </c>
      <c r="B2" t="s">
        <v>68</v>
      </c>
      <c r="C2" t="s">
        <v>67</v>
      </c>
      <c r="D2" t="s">
        <v>8</v>
      </c>
      <c r="E2" t="s">
        <v>68</v>
      </c>
      <c r="F2" s="9">
        <v>367</v>
      </c>
      <c r="G2" s="10">
        <v>7.6488268177300203</v>
      </c>
      <c r="H2" s="10">
        <v>2.5502911659906098</v>
      </c>
      <c r="I2" s="10">
        <v>5.9373699688717902</v>
      </c>
      <c r="J2" s="10">
        <v>7.0306715999999998</v>
      </c>
      <c r="K2" s="10">
        <v>9.038424075</v>
      </c>
      <c r="L2" s="10">
        <v>7.6633409508810102</v>
      </c>
      <c r="M2" s="10">
        <v>1.69078011139589</v>
      </c>
      <c r="N2" s="10">
        <v>6.3250989934949997</v>
      </c>
      <c r="O2" s="10">
        <v>7.4827802802772201</v>
      </c>
      <c r="P2" s="10">
        <v>8.6032406347629191</v>
      </c>
    </row>
    <row r="3" spans="1:16" x14ac:dyDescent="0.25">
      <c r="A3" t="s">
        <v>66</v>
      </c>
      <c r="B3" t="s">
        <v>68</v>
      </c>
      <c r="C3" t="s">
        <v>9</v>
      </c>
      <c r="D3" t="s">
        <v>10</v>
      </c>
      <c r="E3" t="s">
        <v>68</v>
      </c>
      <c r="F3" s="9">
        <v>249</v>
      </c>
      <c r="G3" s="10">
        <v>5.1661480087738996</v>
      </c>
      <c r="H3" s="10">
        <v>1.5550224776017101</v>
      </c>
      <c r="I3" s="10">
        <v>4.2044472500000003</v>
      </c>
      <c r="J3" s="10">
        <v>5.0200050387129398</v>
      </c>
      <c r="K3" s="10">
        <v>6.3726425000000004</v>
      </c>
      <c r="L3" s="10">
        <v>5.3951895837268404</v>
      </c>
      <c r="M3" s="10">
        <v>1.1271915541446</v>
      </c>
      <c r="N3" s="10">
        <v>4.8534002370978699</v>
      </c>
      <c r="O3" s="10">
        <v>5.2629147217210797</v>
      </c>
      <c r="P3" s="10">
        <v>5.8999752059009802</v>
      </c>
    </row>
    <row r="4" spans="1:16" x14ac:dyDescent="0.25">
      <c r="A4" t="s">
        <v>66</v>
      </c>
      <c r="B4" t="s">
        <v>68</v>
      </c>
      <c r="C4" t="s">
        <v>12</v>
      </c>
      <c r="D4" t="s">
        <v>13</v>
      </c>
      <c r="E4" t="s">
        <v>68</v>
      </c>
      <c r="F4" s="9">
        <v>291</v>
      </c>
      <c r="G4" s="10">
        <v>2.3669671111425101</v>
      </c>
      <c r="H4" s="10">
        <v>0.93213039385140595</v>
      </c>
      <c r="I4" s="10">
        <v>1.6446036375749999</v>
      </c>
      <c r="J4" s="10">
        <v>2.2559947376</v>
      </c>
      <c r="K4" s="10">
        <v>3.0482478228736798</v>
      </c>
      <c r="L4" s="10">
        <v>2.4846822877586199</v>
      </c>
      <c r="M4" s="10">
        <v>0.84148808594537206</v>
      </c>
      <c r="N4" s="10">
        <v>1.7620197452747099</v>
      </c>
      <c r="O4" s="10">
        <v>2.4544616002758399</v>
      </c>
      <c r="P4" s="10">
        <v>3.1264515631028802</v>
      </c>
    </row>
    <row r="5" spans="1:16" x14ac:dyDescent="0.25">
      <c r="A5" t="s">
        <v>66</v>
      </c>
      <c r="B5" t="s">
        <v>68</v>
      </c>
      <c r="C5" t="s">
        <v>14</v>
      </c>
      <c r="D5" t="s">
        <v>15</v>
      </c>
      <c r="E5" t="s">
        <v>68</v>
      </c>
      <c r="F5" s="9">
        <v>325</v>
      </c>
      <c r="G5" s="10">
        <v>2.2108927851273701</v>
      </c>
      <c r="H5" s="10">
        <v>1.37495033416277</v>
      </c>
      <c r="I5" s="10">
        <v>1.1167643413341399</v>
      </c>
      <c r="J5" s="10">
        <v>2.0928505361403702</v>
      </c>
      <c r="K5" s="10">
        <v>3.4440978698000002</v>
      </c>
      <c r="L5" s="10">
        <v>2.2939907893808602</v>
      </c>
      <c r="M5" s="10">
        <v>1.4566652652708301</v>
      </c>
      <c r="N5" s="10">
        <v>1.28244080784859</v>
      </c>
      <c r="O5" s="10">
        <v>2.3119915162321698</v>
      </c>
      <c r="P5" s="10">
        <v>3.1264230134144899</v>
      </c>
    </row>
    <row r="6" spans="1:16" x14ac:dyDescent="0.25">
      <c r="A6" t="s">
        <v>66</v>
      </c>
      <c r="B6" t="s">
        <v>68</v>
      </c>
      <c r="C6" t="s">
        <v>16</v>
      </c>
      <c r="D6" t="s">
        <v>17</v>
      </c>
      <c r="E6" t="s">
        <v>68</v>
      </c>
      <c r="F6" s="9">
        <v>331</v>
      </c>
      <c r="G6" s="10">
        <v>1.09143335329588</v>
      </c>
      <c r="H6" s="10">
        <v>0.37738114795426397</v>
      </c>
      <c r="I6" s="10">
        <v>0.76901467558593795</v>
      </c>
      <c r="J6" s="10">
        <v>1.0859225558866601</v>
      </c>
      <c r="K6" s="10">
        <v>1.3849878563878499</v>
      </c>
      <c r="L6" s="10">
        <v>1.0953006797696201</v>
      </c>
      <c r="M6" s="10">
        <v>0.31577425202266002</v>
      </c>
      <c r="N6" s="10">
        <v>0.87432514753845203</v>
      </c>
      <c r="O6" s="10">
        <v>1.0894538427031899</v>
      </c>
      <c r="P6" s="10">
        <v>1.31304295778447</v>
      </c>
    </row>
    <row r="7" spans="1:16" x14ac:dyDescent="0.25">
      <c r="A7" t="s">
        <v>69</v>
      </c>
      <c r="B7" t="s">
        <v>67</v>
      </c>
      <c r="C7" t="s">
        <v>18</v>
      </c>
      <c r="D7" t="s">
        <v>19</v>
      </c>
      <c r="E7" t="s">
        <v>68</v>
      </c>
      <c r="F7" s="9">
        <v>376</v>
      </c>
      <c r="G7" s="10">
        <v>3.3042200286940999</v>
      </c>
      <c r="H7" s="10">
        <v>2.55238155094727</v>
      </c>
      <c r="I7" s="10">
        <v>1.48779335089509</v>
      </c>
      <c r="J7" s="10">
        <v>2.6798547138620199</v>
      </c>
      <c r="K7" s="10">
        <v>4.6352429365623404</v>
      </c>
      <c r="L7" s="10">
        <v>3.3089910205083801</v>
      </c>
      <c r="M7" s="10">
        <v>2.3990359307095499</v>
      </c>
      <c r="N7" s="10">
        <v>1.54313929066325</v>
      </c>
      <c r="O7" s="10">
        <v>2.8371887135936098</v>
      </c>
      <c r="P7" s="10">
        <v>4.7329457054553101</v>
      </c>
    </row>
    <row r="8" spans="1:16" x14ac:dyDescent="0.25">
      <c r="A8" t="s">
        <v>69</v>
      </c>
      <c r="B8" t="s">
        <v>67</v>
      </c>
      <c r="C8" t="s">
        <v>20</v>
      </c>
      <c r="D8" t="s">
        <v>21</v>
      </c>
      <c r="E8" t="s">
        <v>68</v>
      </c>
      <c r="F8" s="9">
        <v>376</v>
      </c>
      <c r="G8" s="10">
        <v>3.0801444769063799</v>
      </c>
      <c r="H8" s="10">
        <v>2.08680427861152</v>
      </c>
      <c r="I8" s="10">
        <v>1.3064620412532999</v>
      </c>
      <c r="J8" s="10">
        <v>2.88416682278161</v>
      </c>
      <c r="K8" s="10">
        <v>4.4807016698101299</v>
      </c>
      <c r="L8" s="10">
        <v>3.0243352969152202</v>
      </c>
      <c r="M8" s="10">
        <v>1.8145298443494999</v>
      </c>
      <c r="N8" s="10">
        <v>1.4947478300213299</v>
      </c>
      <c r="O8" s="10">
        <v>2.9401609874599401</v>
      </c>
      <c r="P8" s="10">
        <v>4.3557806559817198</v>
      </c>
    </row>
    <row r="9" spans="1:16" x14ac:dyDescent="0.25">
      <c r="A9" t="s">
        <v>69</v>
      </c>
      <c r="B9" t="s">
        <v>67</v>
      </c>
      <c r="C9" t="s">
        <v>22</v>
      </c>
      <c r="D9" t="s">
        <v>23</v>
      </c>
      <c r="E9" t="s">
        <v>68</v>
      </c>
      <c r="F9" s="9">
        <v>377</v>
      </c>
      <c r="G9" s="10">
        <v>1.1385037368462101</v>
      </c>
      <c r="H9" s="10">
        <v>1.3654249603878801</v>
      </c>
      <c r="I9" s="10">
        <v>0.113677289226757</v>
      </c>
      <c r="J9" s="10">
        <v>0.52151913154805096</v>
      </c>
      <c r="K9" s="10">
        <v>1.9258308548768599</v>
      </c>
      <c r="L9" s="10">
        <v>1.1790360797883099</v>
      </c>
      <c r="M9" s="10">
        <v>1.44516772160003</v>
      </c>
      <c r="N9" s="10">
        <v>0.137064365722422</v>
      </c>
      <c r="O9" s="10">
        <v>0.49416182547780202</v>
      </c>
      <c r="P9" s="10">
        <v>1.88910431365378</v>
      </c>
    </row>
    <row r="10" spans="1:16" x14ac:dyDescent="0.25">
      <c r="A10" t="s">
        <v>69</v>
      </c>
      <c r="B10" t="s">
        <v>67</v>
      </c>
      <c r="C10" t="s">
        <v>24</v>
      </c>
      <c r="D10" t="s">
        <v>25</v>
      </c>
      <c r="E10" t="s">
        <v>68</v>
      </c>
      <c r="F10" s="9">
        <v>364</v>
      </c>
      <c r="G10" s="10">
        <v>0.79771277388900697</v>
      </c>
      <c r="H10" s="10">
        <v>0.98407568866518003</v>
      </c>
      <c r="I10" s="10">
        <v>0.15109628495866401</v>
      </c>
      <c r="J10" s="10">
        <v>0.38043829856056899</v>
      </c>
      <c r="K10" s="10">
        <v>1.09591918077017</v>
      </c>
      <c r="L10" s="10">
        <v>0.84249929007031199</v>
      </c>
      <c r="M10" s="10">
        <v>1.05089017964174</v>
      </c>
      <c r="N10" s="10">
        <v>0.15581870807450199</v>
      </c>
      <c r="O10" s="10">
        <v>0.41024611677229</v>
      </c>
      <c r="P10" s="10">
        <v>1.1166591764176601</v>
      </c>
    </row>
    <row r="11" spans="1:16" x14ac:dyDescent="0.25">
      <c r="A11" t="s">
        <v>69</v>
      </c>
      <c r="B11" t="s">
        <v>67</v>
      </c>
      <c r="C11" t="s">
        <v>26</v>
      </c>
      <c r="D11" t="s">
        <v>27</v>
      </c>
      <c r="E11" t="s">
        <v>68</v>
      </c>
      <c r="F11" s="9">
        <v>365</v>
      </c>
      <c r="G11" s="10">
        <v>0.412776770523549</v>
      </c>
      <c r="H11" s="10">
        <v>0.56426006866865097</v>
      </c>
      <c r="I11" s="10">
        <v>5.40197464800889E-2</v>
      </c>
      <c r="J11" s="10">
        <v>0.15861371010931499</v>
      </c>
      <c r="K11" s="10">
        <v>0.68472596747798997</v>
      </c>
      <c r="L11" s="10">
        <v>0.47090239222575597</v>
      </c>
      <c r="M11" s="10">
        <v>0.76778811167130301</v>
      </c>
      <c r="N11" s="10">
        <v>5.8237836747824498E-2</v>
      </c>
      <c r="O11" s="10">
        <v>0.15787681479119201</v>
      </c>
      <c r="P11" s="10">
        <v>0.67500681161110698</v>
      </c>
    </row>
    <row r="12" spans="1:16" x14ac:dyDescent="0.25">
      <c r="A12" t="s">
        <v>69</v>
      </c>
      <c r="B12" t="s">
        <v>67</v>
      </c>
      <c r="C12" t="s">
        <v>28</v>
      </c>
      <c r="D12" t="s">
        <v>29</v>
      </c>
      <c r="E12" t="s">
        <v>68</v>
      </c>
      <c r="F12" s="9">
        <v>365</v>
      </c>
      <c r="G12" s="10">
        <v>0.10729233330233801</v>
      </c>
      <c r="H12" s="10">
        <v>0.34235073555198797</v>
      </c>
      <c r="I12" s="10">
        <v>-9.7159068827484398E-6</v>
      </c>
      <c r="J12" s="10">
        <v>2.4121279921147099E-2</v>
      </c>
      <c r="K12" s="10">
        <v>0.14585297800276101</v>
      </c>
      <c r="L12" s="10">
        <v>0.11435306725028099</v>
      </c>
      <c r="M12" s="10">
        <v>0.42449452183082997</v>
      </c>
      <c r="N12" s="10">
        <v>-8.0114017933359901E-6</v>
      </c>
      <c r="O12" s="10">
        <v>2.2698525526329599E-2</v>
      </c>
      <c r="P12" s="10">
        <v>0.14962067068005699</v>
      </c>
    </row>
    <row r="13" spans="1:16" x14ac:dyDescent="0.25">
      <c r="A13" t="s">
        <v>71</v>
      </c>
      <c r="B13" t="s">
        <v>9</v>
      </c>
      <c r="C13" t="s">
        <v>30</v>
      </c>
      <c r="D13" t="s">
        <v>31</v>
      </c>
      <c r="E13" t="s">
        <v>68</v>
      </c>
      <c r="F13" s="9">
        <v>195</v>
      </c>
      <c r="G13" s="10">
        <v>0.57612465400046398</v>
      </c>
      <c r="H13" s="10">
        <v>0.55563358261783302</v>
      </c>
      <c r="I13" s="10">
        <v>0.16810219119557801</v>
      </c>
      <c r="J13" s="10">
        <v>0.50910295186513799</v>
      </c>
      <c r="K13" s="10">
        <v>0.80177060619252105</v>
      </c>
      <c r="L13" s="10">
        <v>0.57523415275418799</v>
      </c>
      <c r="M13" s="10">
        <v>0.58190330490926601</v>
      </c>
      <c r="N13" s="10">
        <v>0.197937344417418</v>
      </c>
      <c r="O13" s="10">
        <v>0.53410533356777201</v>
      </c>
      <c r="P13" s="10">
        <v>0.77567952651425598</v>
      </c>
    </row>
    <row r="14" spans="1:16" x14ac:dyDescent="0.25">
      <c r="A14" t="s">
        <v>71</v>
      </c>
      <c r="B14" t="s">
        <v>9</v>
      </c>
      <c r="C14" t="s">
        <v>32</v>
      </c>
      <c r="D14" t="s">
        <v>33</v>
      </c>
      <c r="E14" t="s">
        <v>68</v>
      </c>
      <c r="F14" s="9">
        <v>195</v>
      </c>
      <c r="G14" s="10">
        <v>0.37631968438764501</v>
      </c>
      <c r="H14" s="10">
        <v>0.313107995579469</v>
      </c>
      <c r="I14" s="10">
        <v>0.12046582491315</v>
      </c>
      <c r="J14" s="10">
        <v>0.38068845605872098</v>
      </c>
      <c r="K14" s="10">
        <v>0.54576546090519196</v>
      </c>
      <c r="L14" s="10">
        <v>0.41502779959549302</v>
      </c>
      <c r="M14" s="10">
        <v>0.40793922549515099</v>
      </c>
      <c r="N14" s="10">
        <v>0.110413018238271</v>
      </c>
      <c r="O14" s="10">
        <v>0.37058846175016702</v>
      </c>
      <c r="P14" s="10">
        <v>0.56375269610183498</v>
      </c>
    </row>
    <row r="15" spans="1:16" x14ac:dyDescent="0.25">
      <c r="A15" t="s">
        <v>70</v>
      </c>
      <c r="B15" t="s">
        <v>9</v>
      </c>
      <c r="C15" t="s">
        <v>34</v>
      </c>
      <c r="D15" t="s">
        <v>35</v>
      </c>
      <c r="E15" t="s">
        <v>68</v>
      </c>
      <c r="F15" s="9">
        <v>195</v>
      </c>
      <c r="G15" s="10">
        <v>0.95229898511363098</v>
      </c>
      <c r="H15" s="10">
        <v>0.63780706764593598</v>
      </c>
      <c r="I15" s="10">
        <v>0.50867658545275596</v>
      </c>
      <c r="J15" s="10">
        <v>0.99363438903287804</v>
      </c>
      <c r="K15" s="10">
        <v>1.2673872746766801</v>
      </c>
      <c r="L15" s="10">
        <v>0.99010898929021296</v>
      </c>
      <c r="M15" s="10">
        <v>0.67852975388695802</v>
      </c>
      <c r="N15" s="10">
        <v>0.648579130563669</v>
      </c>
      <c r="O15" s="10">
        <v>0.99600230796184397</v>
      </c>
      <c r="P15" s="10">
        <v>1.2894233639949699</v>
      </c>
    </row>
    <row r="16" spans="1:16" x14ac:dyDescent="0.25">
      <c r="A16" t="s">
        <v>70</v>
      </c>
      <c r="B16" t="s">
        <v>9</v>
      </c>
      <c r="C16" t="s">
        <v>36</v>
      </c>
      <c r="D16" t="s">
        <v>37</v>
      </c>
      <c r="E16" t="s">
        <v>68</v>
      </c>
      <c r="F16" s="9">
        <v>255</v>
      </c>
      <c r="G16" s="10">
        <v>0.95698302495309195</v>
      </c>
      <c r="H16" s="10">
        <v>0.39404799156202303</v>
      </c>
      <c r="I16" s="10">
        <v>0.65929800000000005</v>
      </c>
      <c r="J16" s="10">
        <v>0.98857937790745898</v>
      </c>
      <c r="K16" s="10">
        <v>1.1877410393250001</v>
      </c>
      <c r="L16" s="10">
        <v>0.95581106945179195</v>
      </c>
      <c r="M16" s="10">
        <v>0.29174444927047299</v>
      </c>
      <c r="N16" s="10">
        <v>0.81743911940151603</v>
      </c>
      <c r="O16" s="10">
        <v>0.91379930835871104</v>
      </c>
      <c r="P16" s="10">
        <v>1.0786100724523799</v>
      </c>
    </row>
    <row r="17" spans="1:16" x14ac:dyDescent="0.25">
      <c r="A17" t="s">
        <v>70</v>
      </c>
      <c r="B17" t="s">
        <v>9</v>
      </c>
      <c r="C17" t="s">
        <v>38</v>
      </c>
      <c r="D17" t="s">
        <v>39</v>
      </c>
      <c r="E17" t="s">
        <v>68</v>
      </c>
      <c r="F17" s="9">
        <v>216</v>
      </c>
      <c r="G17" s="10">
        <v>0.53321569803498103</v>
      </c>
      <c r="H17" s="10">
        <v>0.56723423774079096</v>
      </c>
      <c r="I17" s="10">
        <v>0.1624316217125</v>
      </c>
      <c r="J17" s="10">
        <v>0.40357262500000002</v>
      </c>
      <c r="K17" s="10">
        <v>0.82718914769214702</v>
      </c>
      <c r="L17" s="10">
        <v>0.560141713042421</v>
      </c>
      <c r="M17" s="10">
        <v>0.64422920111086701</v>
      </c>
      <c r="N17" s="10">
        <v>0.19102577188878</v>
      </c>
      <c r="O17" s="10">
        <v>0.35635879584254598</v>
      </c>
      <c r="P17" s="10">
        <v>0.78503636743281802</v>
      </c>
    </row>
    <row r="18" spans="1:16" x14ac:dyDescent="0.25">
      <c r="A18" t="s">
        <v>70</v>
      </c>
      <c r="B18" t="s">
        <v>9</v>
      </c>
      <c r="C18" t="s">
        <v>40</v>
      </c>
      <c r="D18" t="s">
        <v>41</v>
      </c>
      <c r="E18" t="s">
        <v>68</v>
      </c>
      <c r="F18" s="9">
        <v>326</v>
      </c>
      <c r="G18" s="10">
        <v>0.41857338056389198</v>
      </c>
      <c r="H18" s="10">
        <v>0.36116105702488999</v>
      </c>
      <c r="I18" s="10">
        <v>9.1950196208094401E-2</v>
      </c>
      <c r="J18" s="10">
        <v>0.34227100775659403</v>
      </c>
      <c r="K18" s="10">
        <v>0.68321668999999996</v>
      </c>
      <c r="L18" s="10">
        <v>0.40845507180931301</v>
      </c>
      <c r="M18" s="10">
        <v>0.35853996672773197</v>
      </c>
      <c r="N18" s="10">
        <v>0.109365508131642</v>
      </c>
      <c r="O18" s="10">
        <v>0.33683627550501</v>
      </c>
      <c r="P18" s="10">
        <v>0.61227693993387899</v>
      </c>
    </row>
    <row r="19" spans="1:16" x14ac:dyDescent="0.25">
      <c r="A19" t="s">
        <v>70</v>
      </c>
      <c r="B19" t="s">
        <v>9</v>
      </c>
      <c r="C19" t="s">
        <v>42</v>
      </c>
      <c r="D19" t="s">
        <v>43</v>
      </c>
      <c r="E19" t="s">
        <v>68</v>
      </c>
      <c r="F19" s="9">
        <v>148</v>
      </c>
      <c r="G19" s="10">
        <v>0.24844474244604101</v>
      </c>
      <c r="H19" s="10">
        <v>0.30061533567739501</v>
      </c>
      <c r="I19" s="10">
        <v>1.6192599371206301E-4</v>
      </c>
      <c r="J19" s="10">
        <v>0.121113075</v>
      </c>
      <c r="K19" s="10">
        <v>0.47902410488191</v>
      </c>
      <c r="L19" s="10">
        <v>0.268790156649728</v>
      </c>
      <c r="M19" s="10">
        <v>0.30756135408993801</v>
      </c>
      <c r="N19" s="10">
        <v>1.42640351560742E-4</v>
      </c>
      <c r="O19" s="10">
        <v>0.14146289035140999</v>
      </c>
      <c r="P19" s="10">
        <v>0.53765587095914902</v>
      </c>
    </row>
    <row r="20" spans="1:16" x14ac:dyDescent="0.25">
      <c r="A20" t="s">
        <v>72</v>
      </c>
      <c r="B20" t="s">
        <v>12</v>
      </c>
      <c r="C20" t="s">
        <v>44</v>
      </c>
      <c r="D20" t="s">
        <v>45</v>
      </c>
      <c r="E20" t="s">
        <v>68</v>
      </c>
      <c r="F20" s="9">
        <v>376</v>
      </c>
      <c r="G20" s="10">
        <v>1.0091517235388101</v>
      </c>
      <c r="H20" s="10">
        <v>0.95160691766348804</v>
      </c>
      <c r="I20" s="10">
        <v>0.31656053165697701</v>
      </c>
      <c r="J20" s="10">
        <v>0.72609795524709497</v>
      </c>
      <c r="K20" s="10">
        <v>1.37234808386934</v>
      </c>
      <c r="L20" s="10">
        <v>1.0060714933543</v>
      </c>
      <c r="M20" s="10">
        <v>0.91022540280380804</v>
      </c>
      <c r="N20" s="10">
        <v>0.37385231466108099</v>
      </c>
      <c r="O20" s="10">
        <v>0.69790590931148</v>
      </c>
      <c r="P20" s="10">
        <v>1.4698045325282101</v>
      </c>
    </row>
    <row r="21" spans="1:16" x14ac:dyDescent="0.25">
      <c r="A21" t="s">
        <v>72</v>
      </c>
      <c r="B21" t="s">
        <v>12</v>
      </c>
      <c r="C21" t="s">
        <v>46</v>
      </c>
      <c r="D21" t="s">
        <v>47</v>
      </c>
      <c r="E21" t="s">
        <v>68</v>
      </c>
      <c r="F21" s="9">
        <v>48</v>
      </c>
      <c r="G21" s="10">
        <v>0.60421465250232398</v>
      </c>
      <c r="H21" s="10">
        <v>0.22868813793824</v>
      </c>
      <c r="I21" s="10">
        <v>0.40910583385267102</v>
      </c>
      <c r="J21" s="10">
        <v>0.61830995920048903</v>
      </c>
      <c r="K21" s="10">
        <v>0.77631743750000004</v>
      </c>
      <c r="L21" s="10">
        <v>0.67922510770722899</v>
      </c>
      <c r="M21" s="10">
        <v>0.21726570609711801</v>
      </c>
      <c r="N21" s="10">
        <v>0.55169912791953202</v>
      </c>
      <c r="O21" s="10">
        <v>0.68644137952937401</v>
      </c>
      <c r="P21" s="10">
        <v>0.80519439161553996</v>
      </c>
    </row>
    <row r="22" spans="1:16" x14ac:dyDescent="0.25">
      <c r="A22" t="s">
        <v>72</v>
      </c>
      <c r="B22" t="s">
        <v>12</v>
      </c>
      <c r="C22" t="s">
        <v>48</v>
      </c>
      <c r="D22" t="s">
        <v>49</v>
      </c>
      <c r="E22" t="s">
        <v>68</v>
      </c>
      <c r="F22" s="9">
        <v>240</v>
      </c>
      <c r="G22" s="10">
        <v>0.25814958311299402</v>
      </c>
      <c r="H22" s="10">
        <v>0.26973460492357199</v>
      </c>
      <c r="I22" s="10">
        <v>3.54653524063063E-2</v>
      </c>
      <c r="J22" s="10">
        <v>0.18131820759391101</v>
      </c>
      <c r="K22" s="10">
        <v>0.392393652246389</v>
      </c>
      <c r="L22" s="10">
        <v>0.26333886851300098</v>
      </c>
      <c r="M22" s="10">
        <v>0.25957047745737899</v>
      </c>
      <c r="N22" s="10">
        <v>3.5087413683122702E-2</v>
      </c>
      <c r="O22" s="10">
        <v>0.22953798363342801</v>
      </c>
      <c r="P22" s="10">
        <v>0.41680012607359102</v>
      </c>
    </row>
    <row r="23" spans="1:16" x14ac:dyDescent="0.25">
      <c r="A23" t="s">
        <v>73</v>
      </c>
      <c r="B23" t="s">
        <v>14</v>
      </c>
      <c r="C23" t="s">
        <v>50</v>
      </c>
      <c r="D23" t="s">
        <v>51</v>
      </c>
      <c r="E23" t="s">
        <v>68</v>
      </c>
      <c r="F23" s="9">
        <v>177</v>
      </c>
      <c r="G23" s="10">
        <v>0.54845845714724195</v>
      </c>
      <c r="H23" s="10">
        <v>0.99166735336856104</v>
      </c>
      <c r="I23" s="10">
        <v>7.3017091446220997E-2</v>
      </c>
      <c r="J23" s="10">
        <v>0.114902947375319</v>
      </c>
      <c r="K23" s="10">
        <v>0.28466950000000002</v>
      </c>
      <c r="L23" s="10">
        <v>0.51380007302309405</v>
      </c>
      <c r="M23" s="10">
        <v>0.84960983623776898</v>
      </c>
      <c r="N23" s="10">
        <v>7.5490722941328095E-2</v>
      </c>
      <c r="O23" s="10">
        <v>0.109759276881827</v>
      </c>
      <c r="P23" s="10">
        <v>0.44566469530619801</v>
      </c>
    </row>
    <row r="24" spans="1:16" x14ac:dyDescent="0.25">
      <c r="A24" t="s">
        <v>73</v>
      </c>
      <c r="B24" t="s">
        <v>14</v>
      </c>
      <c r="C24" t="s">
        <v>52</v>
      </c>
      <c r="D24" t="s">
        <v>53</v>
      </c>
      <c r="E24" t="s">
        <v>68</v>
      </c>
      <c r="F24" s="9">
        <v>214</v>
      </c>
      <c r="G24" s="10">
        <v>0.240552516492754</v>
      </c>
      <c r="H24" s="10">
        <v>0.46798386585636498</v>
      </c>
      <c r="I24" s="10">
        <v>4.7778630418401101E-2</v>
      </c>
      <c r="J24" s="10">
        <v>0.16278313230734001</v>
      </c>
      <c r="K24" s="10">
        <v>0.26637637365912598</v>
      </c>
      <c r="L24" s="10">
        <v>0.26497151227537202</v>
      </c>
      <c r="M24" s="10">
        <v>0.51164165477386903</v>
      </c>
      <c r="N24" s="10">
        <v>4.7109222283692201E-2</v>
      </c>
      <c r="O24" s="10">
        <v>0.20681684920636301</v>
      </c>
      <c r="P24" s="10">
        <v>0.29417249191220401</v>
      </c>
    </row>
    <row r="25" spans="1:16" x14ac:dyDescent="0.25">
      <c r="A25" s="8" t="s">
        <v>73</v>
      </c>
      <c r="B25" s="8" t="s">
        <v>14</v>
      </c>
      <c r="C25" s="8" t="s">
        <v>54</v>
      </c>
      <c r="D25" s="8" t="s">
        <v>55</v>
      </c>
      <c r="E25" s="8" t="s">
        <v>68</v>
      </c>
      <c r="F25" s="11">
        <v>74</v>
      </c>
      <c r="G25" s="12">
        <v>3.9387729054054098E-2</v>
      </c>
      <c r="H25" s="12">
        <v>0.237999770032471</v>
      </c>
      <c r="I25" s="12">
        <v>0</v>
      </c>
      <c r="J25" s="12">
        <v>0</v>
      </c>
      <c r="K25" s="12">
        <v>0</v>
      </c>
      <c r="L25" s="12">
        <v>3.14251243818751E-2</v>
      </c>
      <c r="M25" s="12">
        <v>0.19343694843427001</v>
      </c>
      <c r="N25" s="12">
        <v>0</v>
      </c>
      <c r="O25" s="12">
        <v>0</v>
      </c>
      <c r="P25" s="12">
        <v>0</v>
      </c>
    </row>
    <row r="26" spans="1:16" x14ac:dyDescent="0.25">
      <c r="A26" t="s">
        <v>71</v>
      </c>
      <c r="B26" t="s">
        <v>68</v>
      </c>
      <c r="C26" t="s">
        <v>67</v>
      </c>
      <c r="D26" t="s">
        <v>8</v>
      </c>
      <c r="E26" t="s">
        <v>75</v>
      </c>
      <c r="F26" s="9">
        <v>13</v>
      </c>
      <c r="G26" s="10">
        <v>7.7433336500000003</v>
      </c>
      <c r="H26" s="10">
        <v>1.940661071122</v>
      </c>
      <c r="I26" s="10">
        <v>6.4646936500000001</v>
      </c>
      <c r="J26" s="10">
        <v>7.6123225999999997</v>
      </c>
      <c r="K26" s="10">
        <v>8.9671132</v>
      </c>
      <c r="L26" s="10">
        <v>8.1434948681696095</v>
      </c>
      <c r="M26" s="10">
        <v>0.98520380562869103</v>
      </c>
      <c r="N26" s="10">
        <v>8.1434948681696095</v>
      </c>
      <c r="O26" s="10">
        <v>8.7045687068789395</v>
      </c>
      <c r="P26" s="10">
        <v>9.9519865134392802</v>
      </c>
    </row>
    <row r="27" spans="1:16" x14ac:dyDescent="0.25">
      <c r="A27" t="s">
        <v>71</v>
      </c>
      <c r="B27" t="s">
        <v>68</v>
      </c>
      <c r="C27" t="s">
        <v>9</v>
      </c>
      <c r="D27" t="s">
        <v>10</v>
      </c>
      <c r="E27" t="s">
        <v>75</v>
      </c>
      <c r="F27" s="9">
        <v>9</v>
      </c>
      <c r="G27" s="10">
        <v>2.9213387833333302</v>
      </c>
      <c r="H27" s="10">
        <v>1.6841163144354601</v>
      </c>
      <c r="I27" s="10">
        <v>1.7562035499999999</v>
      </c>
      <c r="J27" s="10">
        <v>2.0974628499999999</v>
      </c>
      <c r="K27" s="10">
        <v>3.6298233500000001</v>
      </c>
      <c r="L27" s="10">
        <v>3.0957639944316302</v>
      </c>
      <c r="M27" s="10">
        <v>0.80580355071934096</v>
      </c>
      <c r="N27" s="10">
        <v>3.0957639944316302</v>
      </c>
      <c r="O27" s="10">
        <v>3.1155449265359501</v>
      </c>
      <c r="P27" s="10">
        <v>4.4346474539939402</v>
      </c>
    </row>
    <row r="28" spans="1:16" x14ac:dyDescent="0.25">
      <c r="A28" t="s">
        <v>71</v>
      </c>
      <c r="B28" t="s">
        <v>68</v>
      </c>
      <c r="C28" t="s">
        <v>12</v>
      </c>
      <c r="D28" t="s">
        <v>13</v>
      </c>
      <c r="E28" t="s">
        <v>75</v>
      </c>
      <c r="F28" s="9">
        <v>9</v>
      </c>
      <c r="G28" s="10">
        <v>1.7105824753666701</v>
      </c>
      <c r="H28" s="10">
        <v>0.54244092227288498</v>
      </c>
      <c r="I28" s="10">
        <v>1.3385501503499999</v>
      </c>
      <c r="J28" s="10">
        <v>1.57061998725</v>
      </c>
      <c r="K28" s="10">
        <v>2.0104631337500001</v>
      </c>
      <c r="L28" s="10">
        <v>2.28480795936933</v>
      </c>
      <c r="M28" s="10">
        <v>0.30678160747601801</v>
      </c>
      <c r="N28" s="10">
        <v>2.28480795936933</v>
      </c>
      <c r="O28" s="10">
        <v>2.3309987758389599</v>
      </c>
      <c r="P28" s="10">
        <v>2.4270400894045099</v>
      </c>
    </row>
    <row r="29" spans="1:16" x14ac:dyDescent="0.25">
      <c r="A29" t="s">
        <v>71</v>
      </c>
      <c r="B29" t="s">
        <v>68</v>
      </c>
      <c r="C29" t="s">
        <v>14</v>
      </c>
      <c r="D29" t="s">
        <v>15</v>
      </c>
      <c r="E29" t="s">
        <v>75</v>
      </c>
      <c r="F29" s="9">
        <v>13</v>
      </c>
      <c r="G29" s="10">
        <v>2.9231293279038502</v>
      </c>
      <c r="H29" s="10">
        <v>1.1438606296199201</v>
      </c>
      <c r="I29" s="10">
        <v>2.0461122269500001</v>
      </c>
      <c r="J29" s="10">
        <v>2.3737566177999998</v>
      </c>
      <c r="K29" s="10">
        <v>3.6405137312</v>
      </c>
      <c r="L29" s="10">
        <v>3.3209383117878</v>
      </c>
      <c r="M29" s="10">
        <v>0.483200930489531</v>
      </c>
      <c r="N29" s="10">
        <v>3.3209383117878</v>
      </c>
      <c r="O29" s="10">
        <v>3.4610243276963599</v>
      </c>
      <c r="P29" s="10">
        <v>3.5171872038015302</v>
      </c>
    </row>
    <row r="30" spans="1:16" x14ac:dyDescent="0.25">
      <c r="A30" t="s">
        <v>71</v>
      </c>
      <c r="B30" t="s">
        <v>68</v>
      </c>
      <c r="C30" t="s">
        <v>16</v>
      </c>
      <c r="D30" t="s">
        <v>17</v>
      </c>
      <c r="E30" t="s">
        <v>75</v>
      </c>
      <c r="F30" s="9">
        <v>6</v>
      </c>
      <c r="G30" s="10">
        <v>0.96211001666666696</v>
      </c>
      <c r="H30" s="10">
        <v>0.43439297158123602</v>
      </c>
      <c r="I30" s="10">
        <v>0.70636346250000004</v>
      </c>
      <c r="J30" s="10">
        <v>0.94939280000000004</v>
      </c>
      <c r="K30" s="10">
        <v>1.1659559500000001</v>
      </c>
      <c r="L30" s="10">
        <v>0.57387348590313303</v>
      </c>
      <c r="M30" s="10">
        <v>0.31085577638044998</v>
      </c>
      <c r="N30" s="10">
        <v>0.57387348590313303</v>
      </c>
      <c r="O30" s="10">
        <v>0.872404511317458</v>
      </c>
      <c r="P30" s="10">
        <v>1.05603674196088</v>
      </c>
    </row>
    <row r="31" spans="1:16" x14ac:dyDescent="0.25">
      <c r="A31" t="s">
        <v>71</v>
      </c>
      <c r="B31" t="s">
        <v>67</v>
      </c>
      <c r="C31" t="s">
        <v>18</v>
      </c>
      <c r="D31" t="s">
        <v>19</v>
      </c>
      <c r="E31" t="s">
        <v>75</v>
      </c>
      <c r="F31" s="9">
        <v>13</v>
      </c>
      <c r="G31" s="10">
        <v>3.0403655967073902</v>
      </c>
      <c r="H31" s="10">
        <v>1.3309092868125401</v>
      </c>
      <c r="I31" s="10">
        <v>2.5119545035456898</v>
      </c>
      <c r="J31" s="10">
        <v>2.8180099811514698</v>
      </c>
      <c r="K31" s="10">
        <v>3.1577666532970801</v>
      </c>
      <c r="L31" s="10">
        <v>2.9004232075192098</v>
      </c>
      <c r="M31" s="10">
        <v>1.1972669188809999</v>
      </c>
      <c r="N31" s="10">
        <v>2.9004232075192098</v>
      </c>
      <c r="O31" s="10">
        <v>4.0181728044145899</v>
      </c>
      <c r="P31" s="10">
        <v>4.5094211617255997</v>
      </c>
    </row>
    <row r="32" spans="1:16" x14ac:dyDescent="0.25">
      <c r="A32" t="s">
        <v>71</v>
      </c>
      <c r="B32" t="s">
        <v>67</v>
      </c>
      <c r="C32" t="s">
        <v>20</v>
      </c>
      <c r="D32" t="s">
        <v>21</v>
      </c>
      <c r="E32" t="s">
        <v>75</v>
      </c>
      <c r="F32" s="9">
        <v>13</v>
      </c>
      <c r="G32" s="10">
        <v>2.7874600278027102</v>
      </c>
      <c r="H32" s="10">
        <v>1.18215640845921</v>
      </c>
      <c r="I32" s="10">
        <v>2.3655259294205502</v>
      </c>
      <c r="J32" s="10">
        <v>2.7486876593836902</v>
      </c>
      <c r="K32" s="10">
        <v>3.14817572451885</v>
      </c>
      <c r="L32" s="10">
        <v>2.52340867293867</v>
      </c>
      <c r="M32" s="10">
        <v>1.3935862330537701</v>
      </c>
      <c r="N32" s="10">
        <v>2.52340867293867</v>
      </c>
      <c r="O32" s="10">
        <v>3.8936478296601802</v>
      </c>
      <c r="P32" s="10">
        <v>4.49467266194244</v>
      </c>
    </row>
    <row r="33" spans="1:16" x14ac:dyDescent="0.25">
      <c r="A33" t="s">
        <v>71</v>
      </c>
      <c r="B33" t="s">
        <v>67</v>
      </c>
      <c r="C33" t="s">
        <v>22</v>
      </c>
      <c r="D33" t="s">
        <v>23</v>
      </c>
      <c r="E33" t="s">
        <v>75</v>
      </c>
      <c r="F33" s="9">
        <v>13</v>
      </c>
      <c r="G33" s="10">
        <v>0.51917091573698304</v>
      </c>
      <c r="H33" s="10">
        <v>0.32853711248476097</v>
      </c>
      <c r="I33" s="10">
        <v>0.38310774218951499</v>
      </c>
      <c r="J33" s="10">
        <v>0.60664357911576505</v>
      </c>
      <c r="K33" s="10">
        <v>0.68158942715854898</v>
      </c>
      <c r="L33" s="10">
        <v>0.41862673100091202</v>
      </c>
      <c r="M33" s="10">
        <v>0.46100698523731698</v>
      </c>
      <c r="N33" s="10">
        <v>0.41862673100091202</v>
      </c>
      <c r="O33" s="10">
        <v>0.81385371146472396</v>
      </c>
      <c r="P33" s="10">
        <v>1.03740161382296</v>
      </c>
    </row>
    <row r="34" spans="1:16" x14ac:dyDescent="0.25">
      <c r="A34" t="s">
        <v>71</v>
      </c>
      <c r="B34" t="s">
        <v>67</v>
      </c>
      <c r="C34" t="s">
        <v>24</v>
      </c>
      <c r="D34" t="s">
        <v>25</v>
      </c>
      <c r="E34" t="s">
        <v>75</v>
      </c>
      <c r="F34" s="9">
        <v>11</v>
      </c>
      <c r="G34" s="10">
        <v>2.07897300526988</v>
      </c>
      <c r="H34" s="10">
        <v>0.90046480752422797</v>
      </c>
      <c r="I34" s="10">
        <v>1.26676707750797</v>
      </c>
      <c r="J34" s="10">
        <v>1.99789962721861</v>
      </c>
      <c r="K34" s="10">
        <v>2.7242854198055699</v>
      </c>
      <c r="L34" s="10">
        <v>1.7601295349123101</v>
      </c>
      <c r="M34" s="10">
        <v>1.20175174497965</v>
      </c>
      <c r="N34" s="10">
        <v>1.7601295349123101</v>
      </c>
      <c r="O34" s="10">
        <v>2.0665238940916901</v>
      </c>
      <c r="P34" s="10">
        <v>3.7253452986500202</v>
      </c>
    </row>
    <row r="35" spans="1:16" x14ac:dyDescent="0.25">
      <c r="A35" t="s">
        <v>71</v>
      </c>
      <c r="B35" t="s">
        <v>67</v>
      </c>
      <c r="C35" t="s">
        <v>26</v>
      </c>
      <c r="D35" t="s">
        <v>27</v>
      </c>
      <c r="E35" t="s">
        <v>75</v>
      </c>
      <c r="F35" s="9">
        <v>11</v>
      </c>
      <c r="G35" s="10">
        <v>0.76953883922173805</v>
      </c>
      <c r="H35" s="10">
        <v>0.23223061412131199</v>
      </c>
      <c r="I35" s="10">
        <v>0.63461235547994799</v>
      </c>
      <c r="J35" s="10">
        <v>0.66875374098226403</v>
      </c>
      <c r="K35" s="10">
        <v>1.06090019713762</v>
      </c>
      <c r="L35" s="10">
        <v>0.85765741960775399</v>
      </c>
      <c r="M35" s="10">
        <v>0.23806693383469399</v>
      </c>
      <c r="N35" s="10">
        <v>0.85765741960775399</v>
      </c>
      <c r="O35" s="10">
        <v>0.98401620439918802</v>
      </c>
      <c r="P35" s="10">
        <v>1.0511598260327599</v>
      </c>
    </row>
    <row r="36" spans="1:16" x14ac:dyDescent="0.25">
      <c r="A36" t="s">
        <v>71</v>
      </c>
      <c r="B36" t="s">
        <v>67</v>
      </c>
      <c r="C36" t="s">
        <v>28</v>
      </c>
      <c r="D36" t="s">
        <v>29</v>
      </c>
      <c r="E36" t="s">
        <v>75</v>
      </c>
      <c r="F36" s="9">
        <v>11</v>
      </c>
      <c r="G36" s="10">
        <v>0.355209082829467</v>
      </c>
      <c r="H36" s="10">
        <v>0.64618264209288501</v>
      </c>
      <c r="I36" s="10">
        <v>-0.236153412080742</v>
      </c>
      <c r="J36" s="10">
        <v>0.108371225370176</v>
      </c>
      <c r="K36" s="10">
        <v>0.94388174801638003</v>
      </c>
      <c r="L36" s="10">
        <v>-0.364232685071537</v>
      </c>
      <c r="M36" s="10">
        <v>0.68499301612198205</v>
      </c>
      <c r="N36" s="10">
        <v>-0.364232685071537</v>
      </c>
      <c r="O36" s="10">
        <v>0.22059325938411101</v>
      </c>
      <c r="P36" s="10">
        <v>0.98614329023512604</v>
      </c>
    </row>
    <row r="37" spans="1:16" x14ac:dyDescent="0.25">
      <c r="A37" t="s">
        <v>71</v>
      </c>
      <c r="B37" t="s">
        <v>9</v>
      </c>
      <c r="C37" t="s">
        <v>30</v>
      </c>
      <c r="D37" t="s">
        <v>31</v>
      </c>
      <c r="E37" t="s">
        <v>75</v>
      </c>
      <c r="F37" s="9">
        <v>0</v>
      </c>
      <c r="G37" s="13" t="s">
        <v>11</v>
      </c>
      <c r="H37" s="13" t="s">
        <v>11</v>
      </c>
      <c r="I37" s="13" t="s">
        <v>11</v>
      </c>
      <c r="J37" s="13" t="s">
        <v>11</v>
      </c>
      <c r="K37" s="13" t="s">
        <v>11</v>
      </c>
      <c r="L37" s="13" t="s">
        <v>11</v>
      </c>
      <c r="M37" s="13" t="s">
        <v>11</v>
      </c>
      <c r="N37" s="13" t="s">
        <v>11</v>
      </c>
      <c r="O37" s="13" t="s">
        <v>11</v>
      </c>
      <c r="P37" s="13" t="s">
        <v>11</v>
      </c>
    </row>
    <row r="38" spans="1:16" x14ac:dyDescent="0.25">
      <c r="A38" t="s">
        <v>71</v>
      </c>
      <c r="B38" t="s">
        <v>9</v>
      </c>
      <c r="C38" t="s">
        <v>32</v>
      </c>
      <c r="D38" t="s">
        <v>33</v>
      </c>
      <c r="E38" t="s">
        <v>75</v>
      </c>
      <c r="F38" s="9">
        <v>0</v>
      </c>
      <c r="G38" s="13" t="s">
        <v>11</v>
      </c>
      <c r="H38" s="13" t="s">
        <v>11</v>
      </c>
      <c r="I38" s="13" t="s">
        <v>11</v>
      </c>
      <c r="J38" s="13" t="s">
        <v>11</v>
      </c>
      <c r="K38" s="13" t="s">
        <v>11</v>
      </c>
      <c r="L38" s="13" t="s">
        <v>11</v>
      </c>
      <c r="M38" s="13" t="s">
        <v>11</v>
      </c>
      <c r="N38" s="13" t="s">
        <v>11</v>
      </c>
      <c r="O38" s="13" t="s">
        <v>11</v>
      </c>
      <c r="P38" s="13" t="s">
        <v>11</v>
      </c>
    </row>
    <row r="39" spans="1:16" x14ac:dyDescent="0.25">
      <c r="A39" t="s">
        <v>71</v>
      </c>
      <c r="B39" t="s">
        <v>9</v>
      </c>
      <c r="C39" t="s">
        <v>34</v>
      </c>
      <c r="D39" t="s">
        <v>35</v>
      </c>
      <c r="E39" t="s">
        <v>75</v>
      </c>
      <c r="F39" s="9">
        <v>0</v>
      </c>
      <c r="G39" s="13" t="s">
        <v>11</v>
      </c>
      <c r="H39" s="13" t="s">
        <v>11</v>
      </c>
      <c r="I39" s="13" t="s">
        <v>11</v>
      </c>
      <c r="J39" s="13" t="s">
        <v>11</v>
      </c>
      <c r="K39" s="13" t="s">
        <v>11</v>
      </c>
      <c r="L39" s="13" t="s">
        <v>11</v>
      </c>
      <c r="M39" s="13" t="s">
        <v>11</v>
      </c>
      <c r="N39" s="13" t="s">
        <v>11</v>
      </c>
      <c r="O39" s="13" t="s">
        <v>11</v>
      </c>
      <c r="P39" s="13" t="s">
        <v>11</v>
      </c>
    </row>
    <row r="40" spans="1:16" x14ac:dyDescent="0.25">
      <c r="A40" t="s">
        <v>71</v>
      </c>
      <c r="B40" t="s">
        <v>9</v>
      </c>
      <c r="C40" t="s">
        <v>36</v>
      </c>
      <c r="D40" t="s">
        <v>37</v>
      </c>
      <c r="E40" t="s">
        <v>75</v>
      </c>
      <c r="F40" s="9">
        <v>9</v>
      </c>
      <c r="G40" s="10">
        <v>0.469519666666667</v>
      </c>
      <c r="H40" s="10">
        <v>0.56048003857402195</v>
      </c>
      <c r="I40" s="10">
        <v>0.1805505</v>
      </c>
      <c r="J40" s="10">
        <v>0.20060700000000001</v>
      </c>
      <c r="K40" s="10">
        <v>0.489153</v>
      </c>
      <c r="L40" s="10">
        <v>0.29986012061311201</v>
      </c>
      <c r="M40" s="10">
        <v>0.38032453521631898</v>
      </c>
      <c r="N40" s="10">
        <v>0.29986012061311201</v>
      </c>
      <c r="O40" s="10">
        <v>0.329096262420776</v>
      </c>
      <c r="P40" s="10">
        <v>0.63610536729701495</v>
      </c>
    </row>
    <row r="41" spans="1:16" x14ac:dyDescent="0.25">
      <c r="A41" t="s">
        <v>71</v>
      </c>
      <c r="B41" t="s">
        <v>9</v>
      </c>
      <c r="C41" t="s">
        <v>38</v>
      </c>
      <c r="D41" t="s">
        <v>39</v>
      </c>
      <c r="E41" t="s">
        <v>75</v>
      </c>
      <c r="F41" s="9">
        <v>8</v>
      </c>
      <c r="G41" s="10">
        <v>0.2272706625</v>
      </c>
      <c r="H41" s="10">
        <v>4.34313519856315E-2</v>
      </c>
      <c r="I41" s="10">
        <v>0.18523076250000001</v>
      </c>
      <c r="J41" s="10">
        <v>0.24478387500000001</v>
      </c>
      <c r="K41" s="10">
        <v>0.26092316250000003</v>
      </c>
      <c r="L41" s="10">
        <v>0.31445491970328199</v>
      </c>
      <c r="M41" s="10">
        <v>6.5455890895909905E-2</v>
      </c>
      <c r="N41" s="10">
        <v>0.31445491970328199</v>
      </c>
      <c r="O41" s="10">
        <v>0.35116280347069001</v>
      </c>
      <c r="P41" s="10">
        <v>0.38738705141664898</v>
      </c>
    </row>
    <row r="42" spans="1:16" x14ac:dyDescent="0.25">
      <c r="A42" t="s">
        <v>71</v>
      </c>
      <c r="B42" t="s">
        <v>9</v>
      </c>
      <c r="C42" t="s">
        <v>40</v>
      </c>
      <c r="D42" t="s">
        <v>41</v>
      </c>
      <c r="E42" t="s">
        <v>75</v>
      </c>
      <c r="F42" s="9">
        <v>9</v>
      </c>
      <c r="G42" s="10">
        <v>0.19376505055555601</v>
      </c>
      <c r="H42" s="10">
        <v>0.31601726842543598</v>
      </c>
      <c r="I42" s="10">
        <v>3.05759999999999E-4</v>
      </c>
      <c r="J42" s="10">
        <v>3.6081500000000201E-4</v>
      </c>
      <c r="K42" s="10">
        <v>0.29146246999999997</v>
      </c>
      <c r="L42" s="10">
        <v>5.3254725615324095E-4</v>
      </c>
      <c r="M42" s="10">
        <v>0.339230958199636</v>
      </c>
      <c r="N42" s="10">
        <v>5.3254725615324095E-4</v>
      </c>
      <c r="O42" s="10">
        <v>5.4937876985162201E-4</v>
      </c>
      <c r="P42" s="10">
        <v>0.27047181667247799</v>
      </c>
    </row>
    <row r="43" spans="1:16" x14ac:dyDescent="0.25">
      <c r="A43" t="s">
        <v>71</v>
      </c>
      <c r="B43" t="s">
        <v>9</v>
      </c>
      <c r="C43" t="s">
        <v>42</v>
      </c>
      <c r="D43" t="s">
        <v>43</v>
      </c>
      <c r="E43" t="s">
        <v>75</v>
      </c>
      <c r="F43" s="9">
        <v>0</v>
      </c>
      <c r="G43" s="13" t="s">
        <v>11</v>
      </c>
      <c r="H43" s="13" t="s">
        <v>11</v>
      </c>
      <c r="I43" s="13" t="s">
        <v>11</v>
      </c>
      <c r="J43" s="13" t="s">
        <v>11</v>
      </c>
      <c r="K43" s="13" t="s">
        <v>11</v>
      </c>
      <c r="L43" s="13" t="s">
        <v>11</v>
      </c>
      <c r="M43" s="13" t="s">
        <v>11</v>
      </c>
      <c r="N43" s="13" t="s">
        <v>11</v>
      </c>
      <c r="O43" s="13" t="s">
        <v>11</v>
      </c>
      <c r="P43" s="13" t="s">
        <v>11</v>
      </c>
    </row>
    <row r="44" spans="1:16" x14ac:dyDescent="0.25">
      <c r="A44" t="s">
        <v>71</v>
      </c>
      <c r="B44" t="s">
        <v>12</v>
      </c>
      <c r="C44" t="s">
        <v>44</v>
      </c>
      <c r="D44" t="s">
        <v>45</v>
      </c>
      <c r="E44" t="s">
        <v>75</v>
      </c>
      <c r="F44" s="9">
        <v>13</v>
      </c>
      <c r="G44" s="10">
        <v>1.0817979502008199</v>
      </c>
      <c r="H44" s="10">
        <v>0.64976528627698404</v>
      </c>
      <c r="I44" s="10">
        <v>0.90142865378378301</v>
      </c>
      <c r="J44" s="10">
        <v>1.0384227953687299</v>
      </c>
      <c r="K44" s="10">
        <v>1.51431034435682</v>
      </c>
      <c r="L44" s="10">
        <v>0.83900005638688602</v>
      </c>
      <c r="M44" s="10">
        <v>0.90076842673492497</v>
      </c>
      <c r="N44" s="10">
        <v>0.83900005638688602</v>
      </c>
      <c r="O44" s="10">
        <v>1.4243784967181099</v>
      </c>
      <c r="P44" s="10">
        <v>2.1969768061531001</v>
      </c>
    </row>
    <row r="45" spans="1:16" x14ac:dyDescent="0.25">
      <c r="A45" t="s">
        <v>71</v>
      </c>
      <c r="B45" t="s">
        <v>12</v>
      </c>
      <c r="C45" t="s">
        <v>46</v>
      </c>
      <c r="D45" t="s">
        <v>47</v>
      </c>
      <c r="E45" t="s">
        <v>75</v>
      </c>
      <c r="F45" s="9">
        <v>0</v>
      </c>
      <c r="G45" s="13" t="s">
        <v>11</v>
      </c>
      <c r="H45" s="13" t="s">
        <v>11</v>
      </c>
      <c r="I45" s="13" t="s">
        <v>11</v>
      </c>
      <c r="J45" s="13" t="s">
        <v>11</v>
      </c>
      <c r="K45" s="13" t="s">
        <v>11</v>
      </c>
      <c r="L45" s="13" t="s">
        <v>11</v>
      </c>
      <c r="M45" s="13" t="s">
        <v>11</v>
      </c>
      <c r="N45" s="13" t="s">
        <v>11</v>
      </c>
      <c r="O45" s="13" t="s">
        <v>11</v>
      </c>
      <c r="P45" s="13" t="s">
        <v>11</v>
      </c>
    </row>
    <row r="46" spans="1:16" x14ac:dyDescent="0.25">
      <c r="A46" t="s">
        <v>71</v>
      </c>
      <c r="B46" t="s">
        <v>12</v>
      </c>
      <c r="C46" t="s">
        <v>48</v>
      </c>
      <c r="D46" t="s">
        <v>49</v>
      </c>
      <c r="E46" t="s">
        <v>75</v>
      </c>
      <c r="F46" s="9">
        <v>8</v>
      </c>
      <c r="G46" s="10">
        <v>0.271457735898609</v>
      </c>
      <c r="H46" s="10">
        <v>0.111646441032594</v>
      </c>
      <c r="I46" s="10">
        <v>0.20206247474851599</v>
      </c>
      <c r="J46" s="10">
        <v>0.26840909243602401</v>
      </c>
      <c r="K46" s="10">
        <v>0.30618186805015102</v>
      </c>
      <c r="L46" s="10">
        <v>0.28389414409758101</v>
      </c>
      <c r="M46" s="10">
        <v>0.13756082825871699</v>
      </c>
      <c r="N46" s="10">
        <v>0.28389414409758101</v>
      </c>
      <c r="O46" s="10">
        <v>0.36551776605462299</v>
      </c>
      <c r="P46" s="10">
        <v>0.46842234636528202</v>
      </c>
    </row>
    <row r="47" spans="1:16" x14ac:dyDescent="0.25">
      <c r="A47" t="s">
        <v>71</v>
      </c>
      <c r="B47" t="s">
        <v>14</v>
      </c>
      <c r="C47" t="s">
        <v>50</v>
      </c>
      <c r="D47" t="s">
        <v>51</v>
      </c>
      <c r="E47" t="s">
        <v>75</v>
      </c>
      <c r="F47" s="9">
        <v>1</v>
      </c>
      <c r="G47" s="10">
        <v>0.84726475000000001</v>
      </c>
      <c r="H47" s="13" t="s">
        <v>11</v>
      </c>
      <c r="I47" s="13" t="s">
        <v>11</v>
      </c>
      <c r="J47" s="10">
        <v>0.84726475000000001</v>
      </c>
      <c r="K47" s="13" t="s">
        <v>11</v>
      </c>
      <c r="L47" s="13" t="s">
        <v>11</v>
      </c>
      <c r="M47" s="13" t="s">
        <v>11</v>
      </c>
      <c r="N47" s="13" t="s">
        <v>11</v>
      </c>
      <c r="O47" s="10">
        <v>0.79969434156474695</v>
      </c>
      <c r="P47" s="13" t="s">
        <v>11</v>
      </c>
    </row>
    <row r="48" spans="1:16" x14ac:dyDescent="0.25">
      <c r="A48" t="s">
        <v>71</v>
      </c>
      <c r="B48" t="s">
        <v>14</v>
      </c>
      <c r="C48" t="s">
        <v>52</v>
      </c>
      <c r="D48" t="s">
        <v>53</v>
      </c>
      <c r="E48" t="s">
        <v>75</v>
      </c>
      <c r="F48" s="9">
        <v>10</v>
      </c>
      <c r="G48" s="10">
        <v>0.16884751071529899</v>
      </c>
      <c r="H48" s="10">
        <v>6.7223490724506604E-2</v>
      </c>
      <c r="I48" s="10">
        <v>0.12678339053929699</v>
      </c>
      <c r="J48" s="10">
        <v>0.170995615683396</v>
      </c>
      <c r="K48" s="10">
        <v>0.21092572024478501</v>
      </c>
      <c r="L48" s="10">
        <v>0.111985802542328</v>
      </c>
      <c r="M48" s="10">
        <v>0.11408956300721999</v>
      </c>
      <c r="N48" s="10">
        <v>0.111985802542328</v>
      </c>
      <c r="O48" s="10">
        <v>0.30683524799411799</v>
      </c>
      <c r="P48" s="10">
        <v>0.32183493594207402</v>
      </c>
    </row>
    <row r="49" spans="1:16" x14ac:dyDescent="0.25">
      <c r="A49" s="8" t="s">
        <v>71</v>
      </c>
      <c r="B49" s="8" t="s">
        <v>14</v>
      </c>
      <c r="C49" s="8" t="s">
        <v>54</v>
      </c>
      <c r="D49" s="8" t="s">
        <v>55</v>
      </c>
      <c r="E49" s="8" t="s">
        <v>75</v>
      </c>
      <c r="F49" s="11">
        <v>0</v>
      </c>
      <c r="G49" s="14" t="s">
        <v>11</v>
      </c>
      <c r="H49" s="14" t="s">
        <v>11</v>
      </c>
      <c r="I49" s="14" t="s">
        <v>11</v>
      </c>
      <c r="J49" s="14" t="s">
        <v>11</v>
      </c>
      <c r="K49" s="14" t="s">
        <v>11</v>
      </c>
      <c r="L49" s="14" t="s">
        <v>11</v>
      </c>
      <c r="M49" s="14" t="s">
        <v>11</v>
      </c>
      <c r="N49" s="14" t="s">
        <v>11</v>
      </c>
      <c r="O49" s="14" t="s">
        <v>11</v>
      </c>
      <c r="P49" s="14" t="s">
        <v>11</v>
      </c>
    </row>
    <row r="50" spans="1:16" x14ac:dyDescent="0.25">
      <c r="A50" t="s">
        <v>71</v>
      </c>
      <c r="B50" t="s">
        <v>68</v>
      </c>
      <c r="C50" t="s">
        <v>67</v>
      </c>
      <c r="D50" t="s">
        <v>8</v>
      </c>
      <c r="E50" t="s">
        <v>76</v>
      </c>
      <c r="F50" s="9">
        <v>15</v>
      </c>
      <c r="G50" s="10">
        <v>6.68089781914329</v>
      </c>
      <c r="H50" s="10">
        <v>0.83020064665938098</v>
      </c>
      <c r="I50" s="10">
        <v>6.5320313982717799</v>
      </c>
      <c r="J50" s="10">
        <v>6.63898738395139</v>
      </c>
      <c r="K50" s="10">
        <v>7.3617818341142502</v>
      </c>
      <c r="L50" s="10">
        <v>9.2068066225735201</v>
      </c>
      <c r="M50" s="10">
        <v>0.88505150066846106</v>
      </c>
      <c r="N50" s="10">
        <v>9.2068066225735201</v>
      </c>
      <c r="O50" s="10">
        <v>9.7280388527527499</v>
      </c>
      <c r="P50" s="10">
        <v>9.8967381173710898</v>
      </c>
    </row>
    <row r="51" spans="1:16" x14ac:dyDescent="0.25">
      <c r="A51" t="s">
        <v>71</v>
      </c>
      <c r="B51" t="s">
        <v>68</v>
      </c>
      <c r="C51" t="s">
        <v>9</v>
      </c>
      <c r="D51" t="s">
        <v>10</v>
      </c>
      <c r="E51" t="s">
        <v>76</v>
      </c>
      <c r="F51" s="9">
        <v>15</v>
      </c>
      <c r="G51" s="10">
        <v>4.2989444808358996</v>
      </c>
      <c r="H51" s="10">
        <v>0.72016446707605297</v>
      </c>
      <c r="I51" s="10">
        <v>4.0295055770871704</v>
      </c>
      <c r="J51" s="10">
        <v>4.1137856787849598</v>
      </c>
      <c r="K51" s="10">
        <v>4.6781793656853399</v>
      </c>
      <c r="L51" s="10">
        <v>5.81489019294622</v>
      </c>
      <c r="M51" s="10">
        <v>0.31517683304233202</v>
      </c>
      <c r="N51" s="10">
        <v>5.81489019294622</v>
      </c>
      <c r="O51" s="10">
        <v>6.02085150267723</v>
      </c>
      <c r="P51" s="10">
        <v>6.1351983940550401</v>
      </c>
    </row>
    <row r="52" spans="1:16" x14ac:dyDescent="0.25">
      <c r="A52" t="s">
        <v>71</v>
      </c>
      <c r="B52" t="s">
        <v>68</v>
      </c>
      <c r="C52" t="s">
        <v>12</v>
      </c>
      <c r="D52" t="s">
        <v>13</v>
      </c>
      <c r="E52" t="s">
        <v>76</v>
      </c>
      <c r="F52" s="9">
        <v>15</v>
      </c>
      <c r="G52" s="10">
        <v>1.55027197322092</v>
      </c>
      <c r="H52" s="10">
        <v>0.53867518656331104</v>
      </c>
      <c r="I52" s="10">
        <v>1.2652128094761399</v>
      </c>
      <c r="J52" s="10">
        <v>1.3441535723973499</v>
      </c>
      <c r="K52" s="10">
        <v>2.08258028253276</v>
      </c>
      <c r="L52" s="10">
        <v>1.84517475971099</v>
      </c>
      <c r="M52" s="10">
        <v>0.43803160166586902</v>
      </c>
      <c r="N52" s="10">
        <v>1.84517475971099</v>
      </c>
      <c r="O52" s="10">
        <v>2.02343004576292</v>
      </c>
      <c r="P52" s="10">
        <v>2.44747403706539</v>
      </c>
    </row>
    <row r="53" spans="1:16" x14ac:dyDescent="0.25">
      <c r="A53" t="s">
        <v>71</v>
      </c>
      <c r="B53" t="s">
        <v>68</v>
      </c>
      <c r="C53" t="s">
        <v>14</v>
      </c>
      <c r="D53" t="s">
        <v>15</v>
      </c>
      <c r="E53" t="s">
        <v>76</v>
      </c>
      <c r="F53" s="9">
        <v>15</v>
      </c>
      <c r="G53" s="10">
        <v>1.0739983853634101</v>
      </c>
      <c r="H53" s="10">
        <v>1.2785950491337701</v>
      </c>
      <c r="I53" s="10">
        <v>0.51721579251062499</v>
      </c>
      <c r="J53" s="10">
        <v>0.62881855559507205</v>
      </c>
      <c r="K53" s="10">
        <v>0.80083746887651797</v>
      </c>
      <c r="L53" s="10">
        <v>0.87401912876275401</v>
      </c>
      <c r="M53" s="10">
        <v>1.16304886265244</v>
      </c>
      <c r="N53" s="10">
        <v>0.87401912876275401</v>
      </c>
      <c r="O53" s="10">
        <v>0.93570074481333898</v>
      </c>
      <c r="P53" s="10">
        <v>1.05318621561334</v>
      </c>
    </row>
    <row r="54" spans="1:16" x14ac:dyDescent="0.25">
      <c r="A54" t="s">
        <v>71</v>
      </c>
      <c r="B54" t="s">
        <v>68</v>
      </c>
      <c r="C54" t="s">
        <v>16</v>
      </c>
      <c r="D54" t="s">
        <v>17</v>
      </c>
      <c r="E54" t="s">
        <v>76</v>
      </c>
      <c r="F54" s="9">
        <v>15</v>
      </c>
      <c r="G54" s="10">
        <v>0.76623612124208196</v>
      </c>
      <c r="H54" s="10">
        <v>0.138927403679311</v>
      </c>
      <c r="I54" s="10">
        <v>0.71156094767975897</v>
      </c>
      <c r="J54" s="10">
        <v>0.72882369849999995</v>
      </c>
      <c r="K54" s="10">
        <v>0.91824029045094202</v>
      </c>
      <c r="L54" s="10">
        <v>1.0599620230690301</v>
      </c>
      <c r="M54" s="10">
        <v>0.10165027329149</v>
      </c>
      <c r="N54" s="10">
        <v>1.0599620230690301</v>
      </c>
      <c r="O54" s="10">
        <v>1.06904238081611</v>
      </c>
      <c r="P54" s="10">
        <v>1.1413917976225301</v>
      </c>
    </row>
    <row r="55" spans="1:16" x14ac:dyDescent="0.25">
      <c r="A55" t="s">
        <v>71</v>
      </c>
      <c r="B55" t="s">
        <v>67</v>
      </c>
      <c r="C55" t="s">
        <v>18</v>
      </c>
      <c r="D55" t="s">
        <v>19</v>
      </c>
      <c r="E55" t="s">
        <v>76</v>
      </c>
      <c r="F55" s="9">
        <v>15</v>
      </c>
      <c r="G55" s="10">
        <v>2.5642659353553299</v>
      </c>
      <c r="H55" s="10">
        <v>1.49393358278082</v>
      </c>
      <c r="I55" s="10">
        <v>1.61268763655781</v>
      </c>
      <c r="J55" s="10">
        <v>1.9019907514774601</v>
      </c>
      <c r="K55" s="10">
        <v>2.6419051233909299</v>
      </c>
      <c r="L55" s="10">
        <v>2.4948914627131402</v>
      </c>
      <c r="M55" s="10">
        <v>1.42537264575089</v>
      </c>
      <c r="N55" s="10">
        <v>2.4948914627131402</v>
      </c>
      <c r="O55" s="10">
        <v>2.8127216110725302</v>
      </c>
      <c r="P55" s="10">
        <v>3.2845368564295199</v>
      </c>
    </row>
    <row r="56" spans="1:16" x14ac:dyDescent="0.25">
      <c r="A56" t="s">
        <v>71</v>
      </c>
      <c r="B56" t="s">
        <v>67</v>
      </c>
      <c r="C56" t="s">
        <v>20</v>
      </c>
      <c r="D56" t="s">
        <v>21</v>
      </c>
      <c r="E56" t="s">
        <v>76</v>
      </c>
      <c r="F56" s="9">
        <v>15</v>
      </c>
      <c r="G56" s="10">
        <v>2.3731535788628899</v>
      </c>
      <c r="H56" s="10">
        <v>1.6993506007100501</v>
      </c>
      <c r="I56" s="10">
        <v>1.3481592782652601</v>
      </c>
      <c r="J56" s="10">
        <v>1.57784236202518</v>
      </c>
      <c r="K56" s="10">
        <v>2.2873323606215301</v>
      </c>
      <c r="L56" s="10">
        <v>2.0732304432369402</v>
      </c>
      <c r="M56" s="10">
        <v>1.7175375282865699</v>
      </c>
      <c r="N56" s="10">
        <v>2.0732304432369402</v>
      </c>
      <c r="O56" s="10">
        <v>2.3585873097622998</v>
      </c>
      <c r="P56" s="10">
        <v>2.8437177938069498</v>
      </c>
    </row>
    <row r="57" spans="1:16" x14ac:dyDescent="0.25">
      <c r="A57" t="s">
        <v>71</v>
      </c>
      <c r="B57" t="s">
        <v>67</v>
      </c>
      <c r="C57" t="s">
        <v>22</v>
      </c>
      <c r="D57" t="s">
        <v>23</v>
      </c>
      <c r="E57" t="s">
        <v>76</v>
      </c>
      <c r="F57" s="9">
        <v>15</v>
      </c>
      <c r="G57" s="10">
        <v>2.6137445951069802</v>
      </c>
      <c r="H57" s="10">
        <v>1.1999476813729399</v>
      </c>
      <c r="I57" s="10">
        <v>1.89562671731569</v>
      </c>
      <c r="J57" s="10">
        <v>2.68508296850852</v>
      </c>
      <c r="K57" s="10">
        <v>3.52675736777607</v>
      </c>
      <c r="L57" s="10">
        <v>3.7401084345545201</v>
      </c>
      <c r="M57" s="10">
        <v>1.55471856951785</v>
      </c>
      <c r="N57" s="10">
        <v>3.7401084345545201</v>
      </c>
      <c r="O57" s="10">
        <v>4.06916564374096</v>
      </c>
      <c r="P57" s="10">
        <v>4.6424095130425904</v>
      </c>
    </row>
    <row r="58" spans="1:16" x14ac:dyDescent="0.25">
      <c r="A58" t="s">
        <v>71</v>
      </c>
      <c r="B58" t="s">
        <v>67</v>
      </c>
      <c r="C58" t="s">
        <v>24</v>
      </c>
      <c r="D58" t="s">
        <v>25</v>
      </c>
      <c r="E58" t="s">
        <v>76</v>
      </c>
      <c r="F58" s="9">
        <v>15</v>
      </c>
      <c r="G58" s="10">
        <v>2.04341939386538</v>
      </c>
      <c r="H58" s="10">
        <v>0.709354087390208</v>
      </c>
      <c r="I58" s="10">
        <v>1.5753736765565001</v>
      </c>
      <c r="J58" s="10">
        <v>2.20721381974769</v>
      </c>
      <c r="K58" s="10">
        <v>2.5864561296833801</v>
      </c>
      <c r="L58" s="10">
        <v>3.05556038384062</v>
      </c>
      <c r="M58" s="10">
        <v>0.99498717293035799</v>
      </c>
      <c r="N58" s="10">
        <v>3.05556038384062</v>
      </c>
      <c r="O58" s="10">
        <v>3.3097974166744</v>
      </c>
      <c r="P58" s="10">
        <v>3.4958910724175398</v>
      </c>
    </row>
    <row r="59" spans="1:16" x14ac:dyDescent="0.25">
      <c r="A59" t="s">
        <v>71</v>
      </c>
      <c r="B59" t="s">
        <v>67</v>
      </c>
      <c r="C59" t="s">
        <v>26</v>
      </c>
      <c r="D59" t="s">
        <v>27</v>
      </c>
      <c r="E59" t="s">
        <v>76</v>
      </c>
      <c r="F59" s="9">
        <v>15</v>
      </c>
      <c r="G59" s="10">
        <v>0.69068564770788499</v>
      </c>
      <c r="H59" s="10">
        <v>0.396700586786771</v>
      </c>
      <c r="I59" s="10">
        <v>0.75338317503071495</v>
      </c>
      <c r="J59" s="10">
        <v>0.81167691336457903</v>
      </c>
      <c r="K59" s="10">
        <v>0.97479840774440296</v>
      </c>
      <c r="L59" s="10">
        <v>0.95015897598943999</v>
      </c>
      <c r="M59" s="10">
        <v>0.60498035083309198</v>
      </c>
      <c r="N59" s="10">
        <v>0.95015897598943999</v>
      </c>
      <c r="O59" s="10">
        <v>1.3920909736943601</v>
      </c>
      <c r="P59" s="10">
        <v>1.4847675133806499</v>
      </c>
    </row>
    <row r="60" spans="1:16" x14ac:dyDescent="0.25">
      <c r="A60" t="s">
        <v>71</v>
      </c>
      <c r="B60" t="s">
        <v>67</v>
      </c>
      <c r="C60" t="s">
        <v>28</v>
      </c>
      <c r="D60" t="s">
        <v>29</v>
      </c>
      <c r="E60" t="s">
        <v>76</v>
      </c>
      <c r="F60" s="9">
        <v>15</v>
      </c>
      <c r="G60" s="10">
        <v>0.47288626009962997</v>
      </c>
      <c r="H60" s="10">
        <v>0.64910245712882797</v>
      </c>
      <c r="I60" s="10">
        <v>-0.16842403182784699</v>
      </c>
      <c r="J60" s="10">
        <v>0.82689780663402102</v>
      </c>
      <c r="K60" s="10">
        <v>1.13988840659881</v>
      </c>
      <c r="L60" s="10">
        <v>-0.230302020508656</v>
      </c>
      <c r="M60" s="10">
        <v>1.02577697222624</v>
      </c>
      <c r="N60" s="10">
        <v>-0.230302020508656</v>
      </c>
      <c r="O60" s="10">
        <v>1.23515300781219</v>
      </c>
      <c r="P60" s="10">
        <v>1.76295395874586</v>
      </c>
    </row>
    <row r="61" spans="1:16" x14ac:dyDescent="0.25">
      <c r="A61" t="s">
        <v>71</v>
      </c>
      <c r="B61" t="s">
        <v>9</v>
      </c>
      <c r="C61" t="s">
        <v>30</v>
      </c>
      <c r="D61" t="s">
        <v>31</v>
      </c>
      <c r="E61" t="s">
        <v>76</v>
      </c>
      <c r="F61" s="9">
        <v>3</v>
      </c>
      <c r="G61" s="10">
        <v>3.5619516017488598E-2</v>
      </c>
      <c r="H61" s="10">
        <v>1.0602606265132E-2</v>
      </c>
      <c r="I61" s="10">
        <v>2.2759007087652602E-2</v>
      </c>
      <c r="J61" s="10">
        <v>3.7197454028386298E-2</v>
      </c>
      <c r="K61" s="10">
        <v>4.6614756099808301E-2</v>
      </c>
      <c r="L61" s="10">
        <v>3.3383029629894499E-2</v>
      </c>
      <c r="M61" s="10">
        <v>4.5227486383121601E-3</v>
      </c>
      <c r="N61" s="10">
        <v>3.3383029629894499E-2</v>
      </c>
      <c r="O61" s="10">
        <v>3.9662233034451599E-2</v>
      </c>
      <c r="P61" s="10">
        <v>4.2909568837801497E-2</v>
      </c>
    </row>
    <row r="62" spans="1:16" x14ac:dyDescent="0.25">
      <c r="A62" t="s">
        <v>71</v>
      </c>
      <c r="B62" t="s">
        <v>9</v>
      </c>
      <c r="C62" t="s">
        <v>32</v>
      </c>
      <c r="D62" t="s">
        <v>33</v>
      </c>
      <c r="E62" t="s">
        <v>76</v>
      </c>
      <c r="F62" s="9">
        <v>3</v>
      </c>
      <c r="G62" s="10">
        <v>3.3595180745592902E-2</v>
      </c>
      <c r="H62" s="10">
        <v>4.4601092807303403E-3</v>
      </c>
      <c r="I62" s="10">
        <v>2.9968171182846701E-2</v>
      </c>
      <c r="J62" s="10">
        <v>3.18541143109407E-2</v>
      </c>
      <c r="K62" s="10">
        <v>3.8805315218364299E-2</v>
      </c>
      <c r="L62" s="10">
        <v>2.7586142498741199E-2</v>
      </c>
      <c r="M62" s="10">
        <v>1.37716250139644E-2</v>
      </c>
      <c r="N62" s="10">
        <v>2.7586142498741199E-2</v>
      </c>
      <c r="O62" s="10">
        <v>3.39648327528667E-2</v>
      </c>
      <c r="P62" s="10">
        <v>5.6919837616064901E-2</v>
      </c>
    </row>
    <row r="63" spans="1:16" x14ac:dyDescent="0.25">
      <c r="A63" t="s">
        <v>71</v>
      </c>
      <c r="B63" t="s">
        <v>9</v>
      </c>
      <c r="C63" t="s">
        <v>34</v>
      </c>
      <c r="D63" t="s">
        <v>35</v>
      </c>
      <c r="E63" t="s">
        <v>76</v>
      </c>
      <c r="F63" s="9">
        <v>3</v>
      </c>
      <c r="G63" s="10">
        <v>6.9203650558104304E-2</v>
      </c>
      <c r="H63" s="10">
        <v>7.4129947484234699E-3</v>
      </c>
      <c r="I63" s="10">
        <v>6.5413662540328404E-2</v>
      </c>
      <c r="J63" s="10">
        <v>6.8857564922147493E-2</v>
      </c>
      <c r="K63" s="10">
        <v>7.2820595757901799E-2</v>
      </c>
      <c r="L63" s="10">
        <v>7.2050332657060706E-2</v>
      </c>
      <c r="M63" s="10">
        <v>1.0967343326741E-2</v>
      </c>
      <c r="N63" s="10">
        <v>7.2050332657060706E-2</v>
      </c>
      <c r="O63" s="10">
        <v>7.3420207308891594E-2</v>
      </c>
      <c r="P63" s="10">
        <v>8.2158886449792995E-2</v>
      </c>
    </row>
    <row r="64" spans="1:16" x14ac:dyDescent="0.25">
      <c r="A64" t="s">
        <v>71</v>
      </c>
      <c r="B64" t="s">
        <v>9</v>
      </c>
      <c r="C64" t="s">
        <v>36</v>
      </c>
      <c r="D64" t="s">
        <v>37</v>
      </c>
      <c r="E64" t="s">
        <v>76</v>
      </c>
      <c r="F64" s="9">
        <v>3</v>
      </c>
      <c r="G64" s="10">
        <v>0.86690877155000001</v>
      </c>
      <c r="H64" s="10">
        <v>0.106164631670899</v>
      </c>
      <c r="I64" s="10">
        <v>0.81851774692500001</v>
      </c>
      <c r="J64" s="10">
        <v>0.88367797425000005</v>
      </c>
      <c r="K64" s="10">
        <v>0.92368439752499998</v>
      </c>
      <c r="L64" s="10">
        <v>0.91466192733412599</v>
      </c>
      <c r="M64" s="10">
        <v>0.113313557291843</v>
      </c>
      <c r="N64" s="10">
        <v>0.91466192733412599</v>
      </c>
      <c r="O64" s="10">
        <v>0.94223227523499598</v>
      </c>
      <c r="P64" s="10">
        <v>1.02363049603946</v>
      </c>
    </row>
    <row r="65" spans="1:16" x14ac:dyDescent="0.25">
      <c r="A65" t="s">
        <v>71</v>
      </c>
      <c r="B65" t="s">
        <v>9</v>
      </c>
      <c r="C65" t="s">
        <v>38</v>
      </c>
      <c r="D65" t="s">
        <v>39</v>
      </c>
      <c r="E65" t="s">
        <v>76</v>
      </c>
      <c r="F65" s="9">
        <v>3</v>
      </c>
      <c r="G65" s="10">
        <v>0.1912024118</v>
      </c>
      <c r="H65" s="10">
        <v>3.66242253726594E-2</v>
      </c>
      <c r="I65" s="10">
        <v>0.170646596525</v>
      </c>
      <c r="J65" s="10">
        <v>0.17923200619999999</v>
      </c>
      <c r="K65" s="10">
        <v>0.20577302427499999</v>
      </c>
      <c r="L65" s="10">
        <v>0.193324092476552</v>
      </c>
      <c r="M65" s="10">
        <v>4.5108544972396199E-2</v>
      </c>
      <c r="N65" s="10">
        <v>0.193324092476552</v>
      </c>
      <c r="O65" s="10">
        <v>0.21384849404470499</v>
      </c>
      <c r="P65" s="10">
        <v>0.238373465139741</v>
      </c>
    </row>
    <row r="66" spans="1:16" x14ac:dyDescent="0.25">
      <c r="A66" t="s">
        <v>71</v>
      </c>
      <c r="B66" t="s">
        <v>9</v>
      </c>
      <c r="C66" t="s">
        <v>40</v>
      </c>
      <c r="D66" t="s">
        <v>41</v>
      </c>
      <c r="E66" t="s">
        <v>76</v>
      </c>
      <c r="F66" s="9">
        <v>15</v>
      </c>
      <c r="G66" s="10">
        <v>0.105324631841814</v>
      </c>
      <c r="H66" s="10">
        <v>5.3805015469055598E-2</v>
      </c>
      <c r="I66" s="10">
        <v>6.9101828528996198E-2</v>
      </c>
      <c r="J66" s="10">
        <v>9.1578036146947997E-2</v>
      </c>
      <c r="K66" s="10">
        <v>9.1877090456222499E-2</v>
      </c>
      <c r="L66" s="10">
        <v>9.7725398377962E-2</v>
      </c>
      <c r="M66" s="10">
        <v>5.6168228686373403E-2</v>
      </c>
      <c r="N66" s="10">
        <v>9.7725398377962E-2</v>
      </c>
      <c r="O66" s="10">
        <v>0.13700767131710601</v>
      </c>
      <c r="P66" s="10">
        <v>0.155068049106522</v>
      </c>
    </row>
    <row r="67" spans="1:16" x14ac:dyDescent="0.25">
      <c r="A67" t="s">
        <v>71</v>
      </c>
      <c r="B67" t="s">
        <v>9</v>
      </c>
      <c r="C67" t="s">
        <v>42</v>
      </c>
      <c r="D67" t="s">
        <v>43</v>
      </c>
      <c r="E67" t="s">
        <v>76</v>
      </c>
      <c r="F67" s="9">
        <v>0</v>
      </c>
      <c r="G67" s="13" t="s">
        <v>11</v>
      </c>
      <c r="H67" s="13" t="s">
        <v>11</v>
      </c>
      <c r="I67" s="13" t="s">
        <v>11</v>
      </c>
      <c r="J67" s="13" t="s">
        <v>11</v>
      </c>
      <c r="K67" s="13" t="s">
        <v>11</v>
      </c>
      <c r="L67" s="13" t="s">
        <v>11</v>
      </c>
      <c r="M67" s="13" t="s">
        <v>11</v>
      </c>
      <c r="N67" s="13" t="s">
        <v>11</v>
      </c>
      <c r="O67" s="13" t="s">
        <v>11</v>
      </c>
      <c r="P67" s="13" t="s">
        <v>11</v>
      </c>
    </row>
    <row r="68" spans="1:16" x14ac:dyDescent="0.25">
      <c r="A68" t="s">
        <v>71</v>
      </c>
      <c r="B68" t="s">
        <v>12</v>
      </c>
      <c r="C68" t="s">
        <v>44</v>
      </c>
      <c r="D68" t="s">
        <v>45</v>
      </c>
      <c r="E68" t="s">
        <v>76</v>
      </c>
      <c r="F68" s="9">
        <v>15</v>
      </c>
      <c r="G68" s="10">
        <v>0.49787543323192601</v>
      </c>
      <c r="H68" s="10">
        <v>0.51611031325363699</v>
      </c>
      <c r="I68" s="10">
        <v>0.215867532665101</v>
      </c>
      <c r="J68" s="10">
        <v>0.26040358294684601</v>
      </c>
      <c r="K68" s="10">
        <v>0.61816924860800804</v>
      </c>
      <c r="L68" s="10">
        <v>0.33592971854679898</v>
      </c>
      <c r="M68" s="10">
        <v>0.46018732016431402</v>
      </c>
      <c r="N68" s="10">
        <v>0.33592971854679898</v>
      </c>
      <c r="O68" s="10">
        <v>0.38894314723054602</v>
      </c>
      <c r="P68" s="10">
        <v>0.74621638920468703</v>
      </c>
    </row>
    <row r="69" spans="1:16" x14ac:dyDescent="0.25">
      <c r="A69" t="s">
        <v>71</v>
      </c>
      <c r="B69" t="s">
        <v>12</v>
      </c>
      <c r="C69" t="s">
        <v>46</v>
      </c>
      <c r="D69" t="s">
        <v>47</v>
      </c>
      <c r="E69" t="s">
        <v>76</v>
      </c>
      <c r="F69" s="9">
        <v>3</v>
      </c>
      <c r="G69" s="10">
        <v>0.68136326930000002</v>
      </c>
      <c r="H69" s="10">
        <v>0.307755133903792</v>
      </c>
      <c r="I69" s="10">
        <v>0.50419624500000004</v>
      </c>
      <c r="J69" s="10">
        <v>0.52762184950000002</v>
      </c>
      <c r="K69" s="10">
        <v>0.78165958369999999</v>
      </c>
      <c r="L69" s="10">
        <v>0.63389000795615702</v>
      </c>
      <c r="M69" s="10">
        <v>0.197757783013428</v>
      </c>
      <c r="N69" s="10">
        <v>0.63389000795615702</v>
      </c>
      <c r="O69" s="10">
        <v>0.70519686887844302</v>
      </c>
      <c r="P69" s="10">
        <v>0.82928574416579903</v>
      </c>
    </row>
    <row r="70" spans="1:16" x14ac:dyDescent="0.25">
      <c r="A70" t="s">
        <v>71</v>
      </c>
      <c r="B70" t="s">
        <v>12</v>
      </c>
      <c r="C70" t="s">
        <v>48</v>
      </c>
      <c r="D70" t="s">
        <v>49</v>
      </c>
      <c r="E70" t="s">
        <v>76</v>
      </c>
      <c r="F70" s="9">
        <v>0</v>
      </c>
      <c r="G70" s="13" t="s">
        <v>11</v>
      </c>
      <c r="H70" s="13" t="s">
        <v>11</v>
      </c>
      <c r="I70" s="13" t="s">
        <v>11</v>
      </c>
      <c r="J70" s="13" t="s">
        <v>11</v>
      </c>
      <c r="K70" s="13" t="s">
        <v>11</v>
      </c>
      <c r="L70" s="13" t="s">
        <v>11</v>
      </c>
      <c r="M70" s="13" t="s">
        <v>11</v>
      </c>
      <c r="N70" s="13" t="s">
        <v>11</v>
      </c>
      <c r="O70" s="13" t="s">
        <v>11</v>
      </c>
      <c r="P70" s="13" t="s">
        <v>11</v>
      </c>
    </row>
    <row r="71" spans="1:16" x14ac:dyDescent="0.25">
      <c r="A71" t="s">
        <v>71</v>
      </c>
      <c r="B71" t="s">
        <v>14</v>
      </c>
      <c r="C71" t="s">
        <v>50</v>
      </c>
      <c r="D71" t="s">
        <v>51</v>
      </c>
      <c r="E71" t="s">
        <v>76</v>
      </c>
      <c r="F71" s="9">
        <v>0</v>
      </c>
      <c r="G71" s="13" t="s">
        <v>11</v>
      </c>
      <c r="H71" s="13" t="s">
        <v>11</v>
      </c>
      <c r="I71" s="13" t="s">
        <v>11</v>
      </c>
      <c r="J71" s="13" t="s">
        <v>11</v>
      </c>
      <c r="K71" s="13" t="s">
        <v>11</v>
      </c>
      <c r="L71" s="13" t="s">
        <v>11</v>
      </c>
      <c r="M71" s="13" t="s">
        <v>11</v>
      </c>
      <c r="N71" s="13" t="s">
        <v>11</v>
      </c>
      <c r="O71" s="13" t="s">
        <v>11</v>
      </c>
      <c r="P71" s="13" t="s">
        <v>11</v>
      </c>
    </row>
    <row r="72" spans="1:16" x14ac:dyDescent="0.25">
      <c r="A72" t="s">
        <v>71</v>
      </c>
      <c r="B72" t="s">
        <v>14</v>
      </c>
      <c r="C72" t="s">
        <v>52</v>
      </c>
      <c r="D72" t="s">
        <v>53</v>
      </c>
      <c r="E72" t="s">
        <v>76</v>
      </c>
      <c r="F72" s="9">
        <v>0</v>
      </c>
      <c r="G72" s="13" t="s">
        <v>11</v>
      </c>
      <c r="H72" s="13" t="s">
        <v>11</v>
      </c>
      <c r="I72" s="13" t="s">
        <v>11</v>
      </c>
      <c r="J72" s="13" t="s">
        <v>11</v>
      </c>
      <c r="K72" s="13" t="s">
        <v>11</v>
      </c>
      <c r="L72" s="13" t="s">
        <v>11</v>
      </c>
      <c r="M72" s="13" t="s">
        <v>11</v>
      </c>
      <c r="N72" s="13" t="s">
        <v>11</v>
      </c>
      <c r="O72" s="13" t="s">
        <v>11</v>
      </c>
      <c r="P72" s="13" t="s">
        <v>11</v>
      </c>
    </row>
    <row r="73" spans="1:16" x14ac:dyDescent="0.25">
      <c r="A73" s="8" t="s">
        <v>71</v>
      </c>
      <c r="B73" s="8" t="s">
        <v>14</v>
      </c>
      <c r="C73" s="8" t="s">
        <v>54</v>
      </c>
      <c r="D73" s="8" t="s">
        <v>55</v>
      </c>
      <c r="E73" s="8" t="s">
        <v>76</v>
      </c>
      <c r="F73" s="11">
        <v>0</v>
      </c>
      <c r="G73" s="14" t="s">
        <v>11</v>
      </c>
      <c r="H73" s="14" t="s">
        <v>11</v>
      </c>
      <c r="I73" s="14" t="s">
        <v>11</v>
      </c>
      <c r="J73" s="14" t="s">
        <v>11</v>
      </c>
      <c r="K73" s="14" t="s">
        <v>11</v>
      </c>
      <c r="L73" s="14" t="s">
        <v>11</v>
      </c>
      <c r="M73" s="14" t="s">
        <v>11</v>
      </c>
      <c r="N73" s="14" t="s">
        <v>11</v>
      </c>
      <c r="O73" s="14" t="s">
        <v>11</v>
      </c>
      <c r="P73" s="14" t="s">
        <v>11</v>
      </c>
    </row>
    <row r="74" spans="1:16" x14ac:dyDescent="0.25">
      <c r="A74" t="s">
        <v>71</v>
      </c>
      <c r="B74" t="s">
        <v>68</v>
      </c>
      <c r="C74" t="s">
        <v>67</v>
      </c>
      <c r="D74" t="s">
        <v>8</v>
      </c>
      <c r="E74" t="s">
        <v>77</v>
      </c>
      <c r="F74" s="9">
        <v>18</v>
      </c>
      <c r="G74" s="10">
        <v>6.3534124915055896</v>
      </c>
      <c r="H74" s="10">
        <v>1.10368303091813</v>
      </c>
      <c r="I74" s="10">
        <v>5.5075368325137202</v>
      </c>
      <c r="J74" s="10">
        <v>6.3617749326105901</v>
      </c>
      <c r="K74" s="10">
        <v>7.1631016543817498</v>
      </c>
      <c r="L74" s="10">
        <v>5.4115017432659496</v>
      </c>
      <c r="M74" s="10">
        <v>0.29352645183529602</v>
      </c>
      <c r="N74" s="10">
        <v>5.4115017432659496</v>
      </c>
      <c r="O74" s="10">
        <v>5.6073476192587197</v>
      </c>
      <c r="P74" s="10">
        <v>5.7273946170978798</v>
      </c>
    </row>
    <row r="75" spans="1:16" x14ac:dyDescent="0.25">
      <c r="A75" t="s">
        <v>71</v>
      </c>
      <c r="B75" t="s">
        <v>68</v>
      </c>
      <c r="C75" t="s">
        <v>9</v>
      </c>
      <c r="D75" t="s">
        <v>10</v>
      </c>
      <c r="E75" t="s">
        <v>77</v>
      </c>
      <c r="F75" s="9">
        <v>0</v>
      </c>
      <c r="G75" s="13" t="s">
        <v>11</v>
      </c>
      <c r="H75" s="13" t="s">
        <v>11</v>
      </c>
      <c r="I75" s="13" t="s">
        <v>11</v>
      </c>
      <c r="J75" s="13" t="s">
        <v>11</v>
      </c>
      <c r="K75" s="13" t="s">
        <v>11</v>
      </c>
      <c r="L75" s="13" t="s">
        <v>11</v>
      </c>
      <c r="M75" s="13" t="s">
        <v>11</v>
      </c>
      <c r="N75" s="13" t="s">
        <v>11</v>
      </c>
      <c r="O75" s="13" t="s">
        <v>11</v>
      </c>
      <c r="P75" s="13" t="s">
        <v>11</v>
      </c>
    </row>
    <row r="76" spans="1:16" x14ac:dyDescent="0.25">
      <c r="A76" t="s">
        <v>71</v>
      </c>
      <c r="B76" t="s">
        <v>68</v>
      </c>
      <c r="C76" t="s">
        <v>12</v>
      </c>
      <c r="D76" t="s">
        <v>13</v>
      </c>
      <c r="E76" t="s">
        <v>77</v>
      </c>
      <c r="F76" s="9">
        <v>0</v>
      </c>
      <c r="G76" s="13" t="s">
        <v>11</v>
      </c>
      <c r="H76" s="13" t="s">
        <v>11</v>
      </c>
      <c r="I76" s="13" t="s">
        <v>11</v>
      </c>
      <c r="J76" s="13" t="s">
        <v>11</v>
      </c>
      <c r="K76" s="13" t="s">
        <v>11</v>
      </c>
      <c r="L76" s="13" t="s">
        <v>11</v>
      </c>
      <c r="M76" s="13" t="s">
        <v>11</v>
      </c>
      <c r="N76" s="13" t="s">
        <v>11</v>
      </c>
      <c r="O76" s="13" t="s">
        <v>11</v>
      </c>
      <c r="P76" s="13" t="s">
        <v>11</v>
      </c>
    </row>
    <row r="77" spans="1:16" x14ac:dyDescent="0.25">
      <c r="A77" t="s">
        <v>71</v>
      </c>
      <c r="B77" t="s">
        <v>68</v>
      </c>
      <c r="C77" t="s">
        <v>14</v>
      </c>
      <c r="D77" t="s">
        <v>15</v>
      </c>
      <c r="E77" t="s">
        <v>77</v>
      </c>
      <c r="F77" s="9">
        <v>0</v>
      </c>
      <c r="G77" s="13" t="s">
        <v>11</v>
      </c>
      <c r="H77" s="13" t="s">
        <v>11</v>
      </c>
      <c r="I77" s="13" t="s">
        <v>11</v>
      </c>
      <c r="J77" s="13" t="s">
        <v>11</v>
      </c>
      <c r="K77" s="13" t="s">
        <v>11</v>
      </c>
      <c r="L77" s="13" t="s">
        <v>11</v>
      </c>
      <c r="M77" s="13" t="s">
        <v>11</v>
      </c>
      <c r="N77" s="13" t="s">
        <v>11</v>
      </c>
      <c r="O77" s="13" t="s">
        <v>11</v>
      </c>
      <c r="P77" s="13" t="s">
        <v>11</v>
      </c>
    </row>
    <row r="78" spans="1:16" x14ac:dyDescent="0.25">
      <c r="A78" t="s">
        <v>71</v>
      </c>
      <c r="B78" t="s">
        <v>68</v>
      </c>
      <c r="C78" t="s">
        <v>16</v>
      </c>
      <c r="D78" t="s">
        <v>17</v>
      </c>
      <c r="E78" t="s">
        <v>77</v>
      </c>
      <c r="F78" s="9">
        <v>18</v>
      </c>
      <c r="G78" s="10">
        <v>1.37089564592437</v>
      </c>
      <c r="H78" s="10">
        <v>0.30885006186499397</v>
      </c>
      <c r="I78" s="10">
        <v>1.1754483586820501</v>
      </c>
      <c r="J78" s="10">
        <v>1.3860149492721401</v>
      </c>
      <c r="K78" s="10">
        <v>1.58165494137064</v>
      </c>
      <c r="L78" s="10">
        <v>1.14515079903894</v>
      </c>
      <c r="M78" s="10">
        <v>7.2796849044368506E-2</v>
      </c>
      <c r="N78" s="10">
        <v>1.14515079903894</v>
      </c>
      <c r="O78" s="10">
        <v>1.17448058895149</v>
      </c>
      <c r="P78" s="10">
        <v>1.2513058037932501</v>
      </c>
    </row>
    <row r="79" spans="1:16" x14ac:dyDescent="0.25">
      <c r="A79" t="s">
        <v>71</v>
      </c>
      <c r="B79" t="s">
        <v>67</v>
      </c>
      <c r="C79" t="s">
        <v>18</v>
      </c>
      <c r="D79" t="s">
        <v>19</v>
      </c>
      <c r="E79" t="s">
        <v>77</v>
      </c>
      <c r="F79" s="9">
        <v>18</v>
      </c>
      <c r="G79" s="10">
        <v>2.7362148369191499</v>
      </c>
      <c r="H79" s="10">
        <v>0.66952159533070998</v>
      </c>
      <c r="I79" s="10">
        <v>2.2362091351620399</v>
      </c>
      <c r="J79" s="10">
        <v>2.7019956701745</v>
      </c>
      <c r="K79" s="10">
        <v>3.2331797761887202</v>
      </c>
      <c r="L79" s="10">
        <v>2.2141842888298</v>
      </c>
      <c r="M79" s="10">
        <v>0.22537605364815799</v>
      </c>
      <c r="N79" s="10">
        <v>2.2141842888298</v>
      </c>
      <c r="O79" s="10">
        <v>2.3528005018826899</v>
      </c>
      <c r="P79" s="10">
        <v>2.52408876123677</v>
      </c>
    </row>
    <row r="80" spans="1:16" x14ac:dyDescent="0.25">
      <c r="A80" t="s">
        <v>71</v>
      </c>
      <c r="B80" t="s">
        <v>67</v>
      </c>
      <c r="C80" t="s">
        <v>20</v>
      </c>
      <c r="D80" t="s">
        <v>21</v>
      </c>
      <c r="E80" t="s">
        <v>77</v>
      </c>
      <c r="F80" s="9">
        <v>18</v>
      </c>
      <c r="G80" s="10">
        <v>2.0839418621102701</v>
      </c>
      <c r="H80" s="10">
        <v>0.43259378362231499</v>
      </c>
      <c r="I80" s="10">
        <v>1.78245707983899</v>
      </c>
      <c r="J80" s="10">
        <v>2.1011326007426199</v>
      </c>
      <c r="K80" s="10">
        <v>2.3919693275112199</v>
      </c>
      <c r="L80" s="10">
        <v>1.7013721486075</v>
      </c>
      <c r="M80" s="10">
        <v>0.18145952061832801</v>
      </c>
      <c r="N80" s="10">
        <v>1.7013721486075</v>
      </c>
      <c r="O80" s="10">
        <v>1.81619244192888</v>
      </c>
      <c r="P80" s="10">
        <v>1.9352846021504599</v>
      </c>
    </row>
    <row r="81" spans="1:16" x14ac:dyDescent="0.25">
      <c r="A81" t="s">
        <v>71</v>
      </c>
      <c r="B81" t="s">
        <v>67</v>
      </c>
      <c r="C81" t="s">
        <v>22</v>
      </c>
      <c r="D81" t="s">
        <v>23</v>
      </c>
      <c r="E81" t="s">
        <v>77</v>
      </c>
      <c r="F81" s="9">
        <v>18</v>
      </c>
      <c r="G81" s="10">
        <v>0.49038911744705199</v>
      </c>
      <c r="H81" s="10">
        <v>0.150641215551821</v>
      </c>
      <c r="I81" s="10">
        <v>0.39055176318506801</v>
      </c>
      <c r="J81" s="10">
        <v>0.459762132418648</v>
      </c>
      <c r="K81" s="10">
        <v>0.61277033081326104</v>
      </c>
      <c r="L81" s="10">
        <v>0.35323681345692198</v>
      </c>
      <c r="M81" s="10">
        <v>8.2105337605679493E-2</v>
      </c>
      <c r="N81" s="10">
        <v>0.35323681345692198</v>
      </c>
      <c r="O81" s="10">
        <v>0.42134244062382598</v>
      </c>
      <c r="P81" s="10">
        <v>0.483177955820425</v>
      </c>
    </row>
    <row r="82" spans="1:16" x14ac:dyDescent="0.25">
      <c r="A82" t="s">
        <v>71</v>
      </c>
      <c r="B82" t="s">
        <v>67</v>
      </c>
      <c r="C82" t="s">
        <v>24</v>
      </c>
      <c r="D82" t="s">
        <v>25</v>
      </c>
      <c r="E82" t="s">
        <v>77</v>
      </c>
      <c r="F82" s="9">
        <v>18</v>
      </c>
      <c r="G82" s="10">
        <v>0.59298327778790705</v>
      </c>
      <c r="H82" s="10">
        <v>0.194356606484446</v>
      </c>
      <c r="I82" s="10">
        <v>0.41095924147545199</v>
      </c>
      <c r="J82" s="10">
        <v>0.62359418854820703</v>
      </c>
      <c r="K82" s="10">
        <v>0.72124759129617599</v>
      </c>
      <c r="L82" s="10">
        <v>0.41251186583363098</v>
      </c>
      <c r="M82" s="10">
        <v>0.120292858668549</v>
      </c>
      <c r="N82" s="10">
        <v>0.41251186583363098</v>
      </c>
      <c r="O82" s="10">
        <v>0.47552570323503601</v>
      </c>
      <c r="P82" s="10">
        <v>0.63921143218627696</v>
      </c>
    </row>
    <row r="83" spans="1:16" x14ac:dyDescent="0.25">
      <c r="A83" t="s">
        <v>71</v>
      </c>
      <c r="B83" t="s">
        <v>67</v>
      </c>
      <c r="C83" t="s">
        <v>26</v>
      </c>
      <c r="D83" t="s">
        <v>27</v>
      </c>
      <c r="E83" t="s">
        <v>77</v>
      </c>
      <c r="F83" s="9">
        <v>18</v>
      </c>
      <c r="G83" s="10">
        <v>0.80476698708523497</v>
      </c>
      <c r="H83" s="10">
        <v>7.6694580664348297E-2</v>
      </c>
      <c r="I83" s="10">
        <v>0.746255520531242</v>
      </c>
      <c r="J83" s="10">
        <v>0.80711340289006595</v>
      </c>
      <c r="K83" s="10">
        <v>0.85651698097434503</v>
      </c>
      <c r="L83" s="10">
        <v>0.65094213593169103</v>
      </c>
      <c r="M83" s="10">
        <v>9.2436921401407093E-2</v>
      </c>
      <c r="N83" s="10">
        <v>0.65094213593169103</v>
      </c>
      <c r="O83" s="10">
        <v>0.68728081209640801</v>
      </c>
      <c r="P83" s="10">
        <v>0.76258940322272295</v>
      </c>
    </row>
    <row r="84" spans="1:16" x14ac:dyDescent="0.25">
      <c r="A84" t="s">
        <v>71</v>
      </c>
      <c r="B84" t="s">
        <v>67</v>
      </c>
      <c r="C84" t="s">
        <v>28</v>
      </c>
      <c r="D84" t="s">
        <v>29</v>
      </c>
      <c r="E84" t="s">
        <v>77</v>
      </c>
      <c r="F84" s="9">
        <v>18</v>
      </c>
      <c r="G84" s="10">
        <v>0.28432500367892399</v>
      </c>
      <c r="H84" s="10">
        <v>0.13081695842647501</v>
      </c>
      <c r="I84" s="10">
        <v>0.23666805814282399</v>
      </c>
      <c r="J84" s="10">
        <v>0.30771721528526202</v>
      </c>
      <c r="K84" s="10">
        <v>0.39078022280144897</v>
      </c>
      <c r="L84" s="10">
        <v>0.202312892339536</v>
      </c>
      <c r="M84" s="10">
        <v>0.115874212054565</v>
      </c>
      <c r="N84" s="10">
        <v>0.202312892339536</v>
      </c>
      <c r="O84" s="10">
        <v>0.254094405591685</v>
      </c>
      <c r="P84" s="10">
        <v>0.310214043677975</v>
      </c>
    </row>
    <row r="85" spans="1:16" x14ac:dyDescent="0.25">
      <c r="A85" t="s">
        <v>71</v>
      </c>
      <c r="B85" t="s">
        <v>9</v>
      </c>
      <c r="C85" t="s">
        <v>30</v>
      </c>
      <c r="D85" t="s">
        <v>31</v>
      </c>
      <c r="E85" t="s">
        <v>77</v>
      </c>
      <c r="F85" s="9">
        <v>0</v>
      </c>
      <c r="G85" s="13" t="s">
        <v>11</v>
      </c>
      <c r="H85" s="13" t="s">
        <v>11</v>
      </c>
      <c r="I85" s="13" t="s">
        <v>11</v>
      </c>
      <c r="J85" s="13" t="s">
        <v>11</v>
      </c>
      <c r="K85" s="13" t="s">
        <v>11</v>
      </c>
      <c r="L85" s="13" t="s">
        <v>11</v>
      </c>
      <c r="M85" s="13" t="s">
        <v>11</v>
      </c>
      <c r="N85" s="13" t="s">
        <v>11</v>
      </c>
      <c r="O85" s="13" t="s">
        <v>11</v>
      </c>
      <c r="P85" s="13" t="s">
        <v>11</v>
      </c>
    </row>
    <row r="86" spans="1:16" x14ac:dyDescent="0.25">
      <c r="A86" t="s">
        <v>71</v>
      </c>
      <c r="B86" t="s">
        <v>9</v>
      </c>
      <c r="C86" t="s">
        <v>32</v>
      </c>
      <c r="D86" t="s">
        <v>33</v>
      </c>
      <c r="E86" t="s">
        <v>77</v>
      </c>
      <c r="F86" s="9">
        <v>0</v>
      </c>
      <c r="G86" s="13" t="s">
        <v>11</v>
      </c>
      <c r="H86" s="13" t="s">
        <v>11</v>
      </c>
      <c r="I86" s="13" t="s">
        <v>11</v>
      </c>
      <c r="J86" s="13" t="s">
        <v>11</v>
      </c>
      <c r="K86" s="13" t="s">
        <v>11</v>
      </c>
      <c r="L86" s="13" t="s">
        <v>11</v>
      </c>
      <c r="M86" s="13" t="s">
        <v>11</v>
      </c>
      <c r="N86" s="13" t="s">
        <v>11</v>
      </c>
      <c r="O86" s="13" t="s">
        <v>11</v>
      </c>
      <c r="P86" s="13" t="s">
        <v>11</v>
      </c>
    </row>
    <row r="87" spans="1:16" x14ac:dyDescent="0.25">
      <c r="A87" t="s">
        <v>71</v>
      </c>
      <c r="B87" t="s">
        <v>9</v>
      </c>
      <c r="C87" t="s">
        <v>34</v>
      </c>
      <c r="D87" t="s">
        <v>35</v>
      </c>
      <c r="E87" t="s">
        <v>77</v>
      </c>
      <c r="F87" s="9">
        <v>0</v>
      </c>
      <c r="G87" s="13" t="s">
        <v>11</v>
      </c>
      <c r="H87" s="13" t="s">
        <v>11</v>
      </c>
      <c r="I87" s="13" t="s">
        <v>11</v>
      </c>
      <c r="J87" s="13" t="s">
        <v>11</v>
      </c>
      <c r="K87" s="13" t="s">
        <v>11</v>
      </c>
      <c r="L87" s="13" t="s">
        <v>11</v>
      </c>
      <c r="M87" s="13" t="s">
        <v>11</v>
      </c>
      <c r="N87" s="13" t="s">
        <v>11</v>
      </c>
      <c r="O87" s="13" t="s">
        <v>11</v>
      </c>
      <c r="P87" s="13" t="s">
        <v>11</v>
      </c>
    </row>
    <row r="88" spans="1:16" x14ac:dyDescent="0.25">
      <c r="A88" t="s">
        <v>71</v>
      </c>
      <c r="B88" t="s">
        <v>9</v>
      </c>
      <c r="C88" t="s">
        <v>36</v>
      </c>
      <c r="D88" t="s">
        <v>37</v>
      </c>
      <c r="E88" t="s">
        <v>77</v>
      </c>
      <c r="F88" s="9">
        <v>0</v>
      </c>
      <c r="G88" s="13" t="s">
        <v>11</v>
      </c>
      <c r="H88" s="13" t="s">
        <v>11</v>
      </c>
      <c r="I88" s="13" t="s">
        <v>11</v>
      </c>
      <c r="J88" s="13" t="s">
        <v>11</v>
      </c>
      <c r="K88" s="13" t="s">
        <v>11</v>
      </c>
      <c r="L88" s="13" t="s">
        <v>11</v>
      </c>
      <c r="M88" s="13" t="s">
        <v>11</v>
      </c>
      <c r="N88" s="13" t="s">
        <v>11</v>
      </c>
      <c r="O88" s="13" t="s">
        <v>11</v>
      </c>
      <c r="P88" s="13" t="s">
        <v>11</v>
      </c>
    </row>
    <row r="89" spans="1:16" x14ac:dyDescent="0.25">
      <c r="A89" t="s">
        <v>71</v>
      </c>
      <c r="B89" t="s">
        <v>9</v>
      </c>
      <c r="C89" t="s">
        <v>38</v>
      </c>
      <c r="D89" t="s">
        <v>39</v>
      </c>
      <c r="E89" t="s">
        <v>77</v>
      </c>
      <c r="F89" s="9">
        <v>0</v>
      </c>
      <c r="G89" s="13" t="s">
        <v>11</v>
      </c>
      <c r="H89" s="13" t="s">
        <v>11</v>
      </c>
      <c r="I89" s="13" t="s">
        <v>11</v>
      </c>
      <c r="J89" s="13" t="s">
        <v>11</v>
      </c>
      <c r="K89" s="13" t="s">
        <v>11</v>
      </c>
      <c r="L89" s="13" t="s">
        <v>11</v>
      </c>
      <c r="M89" s="13" t="s">
        <v>11</v>
      </c>
      <c r="N89" s="13" t="s">
        <v>11</v>
      </c>
      <c r="O89" s="13" t="s">
        <v>11</v>
      </c>
      <c r="P89" s="13" t="s">
        <v>11</v>
      </c>
    </row>
    <row r="90" spans="1:16" x14ac:dyDescent="0.25">
      <c r="A90" t="s">
        <v>71</v>
      </c>
      <c r="B90" t="s">
        <v>9</v>
      </c>
      <c r="C90" t="s">
        <v>40</v>
      </c>
      <c r="D90" t="s">
        <v>41</v>
      </c>
      <c r="E90" t="s">
        <v>77</v>
      </c>
      <c r="F90" s="9">
        <v>18</v>
      </c>
      <c r="G90" s="10">
        <v>0.36679236210124899</v>
      </c>
      <c r="H90" s="10">
        <v>7.6735827597240902E-2</v>
      </c>
      <c r="I90" s="10">
        <v>0.311902666258974</v>
      </c>
      <c r="J90" s="10">
        <v>0.37076722717473798</v>
      </c>
      <c r="K90" s="10">
        <v>0.426002945467994</v>
      </c>
      <c r="L90" s="10">
        <v>0.30152872580085299</v>
      </c>
      <c r="M90" s="10">
        <v>2.5009256014216E-2</v>
      </c>
      <c r="N90" s="10">
        <v>0.30152872580085299</v>
      </c>
      <c r="O90" s="10">
        <v>0.31547703918008402</v>
      </c>
      <c r="P90" s="10">
        <v>0.34088239889358202</v>
      </c>
    </row>
    <row r="91" spans="1:16" x14ac:dyDescent="0.25">
      <c r="A91" t="s">
        <v>71</v>
      </c>
      <c r="B91" t="s">
        <v>9</v>
      </c>
      <c r="C91" t="s">
        <v>42</v>
      </c>
      <c r="D91" t="s">
        <v>43</v>
      </c>
      <c r="E91" t="s">
        <v>77</v>
      </c>
      <c r="F91" s="9">
        <v>0</v>
      </c>
      <c r="G91" s="13" t="s">
        <v>11</v>
      </c>
      <c r="H91" s="13" t="s">
        <v>11</v>
      </c>
      <c r="I91" s="13" t="s">
        <v>11</v>
      </c>
      <c r="J91" s="13" t="s">
        <v>11</v>
      </c>
      <c r="K91" s="13" t="s">
        <v>11</v>
      </c>
      <c r="L91" s="13" t="s">
        <v>11</v>
      </c>
      <c r="M91" s="13" t="s">
        <v>11</v>
      </c>
      <c r="N91" s="13" t="s">
        <v>11</v>
      </c>
      <c r="O91" s="13" t="s">
        <v>11</v>
      </c>
      <c r="P91" s="13" t="s">
        <v>11</v>
      </c>
    </row>
    <row r="92" spans="1:16" x14ac:dyDescent="0.25">
      <c r="A92" t="s">
        <v>71</v>
      </c>
      <c r="B92" t="s">
        <v>12</v>
      </c>
      <c r="C92" t="s">
        <v>44</v>
      </c>
      <c r="D92" t="s">
        <v>45</v>
      </c>
      <c r="E92" t="s">
        <v>77</v>
      </c>
      <c r="F92" s="9">
        <v>18</v>
      </c>
      <c r="G92" s="10">
        <v>0.26997555140705898</v>
      </c>
      <c r="H92" s="10">
        <v>7.5727823265149999E-2</v>
      </c>
      <c r="I92" s="10">
        <v>0.22066199696434899</v>
      </c>
      <c r="J92" s="10">
        <v>0.25601711200579202</v>
      </c>
      <c r="K92" s="10">
        <v>0.29413549428451002</v>
      </c>
      <c r="L92" s="10">
        <v>0.21041769774323499</v>
      </c>
      <c r="M92" s="10">
        <v>3.3626137615845701E-2</v>
      </c>
      <c r="N92" s="10">
        <v>0.21041769774323499</v>
      </c>
      <c r="O92" s="10">
        <v>0.22814980273699001</v>
      </c>
      <c r="P92" s="10">
        <v>0.25025532185988503</v>
      </c>
    </row>
    <row r="93" spans="1:16" x14ac:dyDescent="0.25">
      <c r="A93" t="s">
        <v>71</v>
      </c>
      <c r="B93" t="s">
        <v>12</v>
      </c>
      <c r="C93" t="s">
        <v>46</v>
      </c>
      <c r="D93" t="s">
        <v>47</v>
      </c>
      <c r="E93" t="s">
        <v>77</v>
      </c>
      <c r="F93" s="9">
        <v>0</v>
      </c>
      <c r="G93" s="13" t="s">
        <v>11</v>
      </c>
      <c r="H93" s="13" t="s">
        <v>11</v>
      </c>
      <c r="I93" s="13" t="s">
        <v>11</v>
      </c>
      <c r="J93" s="13" t="s">
        <v>11</v>
      </c>
      <c r="K93" s="13" t="s">
        <v>11</v>
      </c>
      <c r="L93" s="13" t="s">
        <v>11</v>
      </c>
      <c r="M93" s="13" t="s">
        <v>11</v>
      </c>
      <c r="N93" s="13" t="s">
        <v>11</v>
      </c>
      <c r="O93" s="13" t="s">
        <v>11</v>
      </c>
      <c r="P93" s="13" t="s">
        <v>11</v>
      </c>
    </row>
    <row r="94" spans="1:16" x14ac:dyDescent="0.25">
      <c r="A94" t="s">
        <v>71</v>
      </c>
      <c r="B94" t="s">
        <v>12</v>
      </c>
      <c r="C94" t="s">
        <v>48</v>
      </c>
      <c r="D94" t="s">
        <v>49</v>
      </c>
      <c r="E94" t="s">
        <v>77</v>
      </c>
      <c r="F94" s="9">
        <v>0</v>
      </c>
      <c r="G94" s="13" t="s">
        <v>11</v>
      </c>
      <c r="H94" s="13" t="s">
        <v>11</v>
      </c>
      <c r="I94" s="13" t="s">
        <v>11</v>
      </c>
      <c r="J94" s="13" t="s">
        <v>11</v>
      </c>
      <c r="K94" s="13" t="s">
        <v>11</v>
      </c>
      <c r="L94" s="13" t="s">
        <v>11</v>
      </c>
      <c r="M94" s="13" t="s">
        <v>11</v>
      </c>
      <c r="N94" s="13" t="s">
        <v>11</v>
      </c>
      <c r="O94" s="13" t="s">
        <v>11</v>
      </c>
      <c r="P94" s="13" t="s">
        <v>11</v>
      </c>
    </row>
    <row r="95" spans="1:16" x14ac:dyDescent="0.25">
      <c r="A95" t="s">
        <v>71</v>
      </c>
      <c r="B95" t="s">
        <v>14</v>
      </c>
      <c r="C95" t="s">
        <v>50</v>
      </c>
      <c r="D95" t="s">
        <v>51</v>
      </c>
      <c r="E95" t="s">
        <v>77</v>
      </c>
      <c r="F95" s="9">
        <v>0</v>
      </c>
      <c r="G95" s="13" t="s">
        <v>11</v>
      </c>
      <c r="H95" s="13" t="s">
        <v>11</v>
      </c>
      <c r="I95" s="13" t="s">
        <v>11</v>
      </c>
      <c r="J95" s="13" t="s">
        <v>11</v>
      </c>
      <c r="K95" s="13" t="s">
        <v>11</v>
      </c>
      <c r="L95" s="13" t="s">
        <v>11</v>
      </c>
      <c r="M95" s="13" t="s">
        <v>11</v>
      </c>
      <c r="N95" s="13" t="s">
        <v>11</v>
      </c>
      <c r="O95" s="13" t="s">
        <v>11</v>
      </c>
      <c r="P95" s="13" t="s">
        <v>11</v>
      </c>
    </row>
    <row r="96" spans="1:16" x14ac:dyDescent="0.25">
      <c r="A96" t="s">
        <v>71</v>
      </c>
      <c r="B96" t="s">
        <v>14</v>
      </c>
      <c r="C96" t="s">
        <v>52</v>
      </c>
      <c r="D96" t="s">
        <v>53</v>
      </c>
      <c r="E96" t="s">
        <v>77</v>
      </c>
      <c r="F96" s="9">
        <v>0</v>
      </c>
      <c r="G96" s="13" t="s">
        <v>11</v>
      </c>
      <c r="H96" s="13" t="s">
        <v>11</v>
      </c>
      <c r="I96" s="13" t="s">
        <v>11</v>
      </c>
      <c r="J96" s="13" t="s">
        <v>11</v>
      </c>
      <c r="K96" s="13" t="s">
        <v>11</v>
      </c>
      <c r="L96" s="13" t="s">
        <v>11</v>
      </c>
      <c r="M96" s="13" t="s">
        <v>11</v>
      </c>
      <c r="N96" s="13" t="s">
        <v>11</v>
      </c>
      <c r="O96" s="13" t="s">
        <v>11</v>
      </c>
      <c r="P96" s="13" t="s">
        <v>11</v>
      </c>
    </row>
    <row r="97" spans="1:16" x14ac:dyDescent="0.25">
      <c r="A97" s="8" t="s">
        <v>71</v>
      </c>
      <c r="B97" s="8" t="s">
        <v>14</v>
      </c>
      <c r="C97" s="8" t="s">
        <v>54</v>
      </c>
      <c r="D97" s="8" t="s">
        <v>55</v>
      </c>
      <c r="E97" s="8" t="s">
        <v>77</v>
      </c>
      <c r="F97" s="11">
        <v>0</v>
      </c>
      <c r="G97" s="14" t="s">
        <v>11</v>
      </c>
      <c r="H97" s="14" t="s">
        <v>11</v>
      </c>
      <c r="I97" s="14" t="s">
        <v>11</v>
      </c>
      <c r="J97" s="14" t="s">
        <v>11</v>
      </c>
      <c r="K97" s="14" t="s">
        <v>11</v>
      </c>
      <c r="L97" s="14" t="s">
        <v>11</v>
      </c>
      <c r="M97" s="14" t="s">
        <v>11</v>
      </c>
      <c r="N97" s="14" t="s">
        <v>11</v>
      </c>
      <c r="O97" s="14" t="s">
        <v>11</v>
      </c>
      <c r="P97" s="14" t="s">
        <v>11</v>
      </c>
    </row>
    <row r="98" spans="1:16" x14ac:dyDescent="0.25">
      <c r="A98" t="s">
        <v>71</v>
      </c>
      <c r="B98" t="s">
        <v>68</v>
      </c>
      <c r="C98" t="s">
        <v>67</v>
      </c>
      <c r="D98" t="s">
        <v>8</v>
      </c>
      <c r="E98" t="s">
        <v>78</v>
      </c>
      <c r="F98" s="9">
        <v>28</v>
      </c>
      <c r="G98" s="10">
        <v>10.728314793991199</v>
      </c>
      <c r="H98" s="10">
        <v>2.7934060033697699</v>
      </c>
      <c r="I98" s="10">
        <v>8.6899491931200092</v>
      </c>
      <c r="J98" s="10">
        <v>10.594092960715299</v>
      </c>
      <c r="K98" s="10">
        <v>12.7458881411552</v>
      </c>
      <c r="L98" s="10">
        <v>9.19588668084603</v>
      </c>
      <c r="M98" s="10">
        <v>1.6891683547526299</v>
      </c>
      <c r="N98" s="10">
        <v>9.19588668084603</v>
      </c>
      <c r="O98" s="10">
        <v>10.4181791749924</v>
      </c>
      <c r="P98" s="10">
        <v>11.4136443056923</v>
      </c>
    </row>
    <row r="99" spans="1:16" x14ac:dyDescent="0.25">
      <c r="A99" t="s">
        <v>71</v>
      </c>
      <c r="B99" t="s">
        <v>68</v>
      </c>
      <c r="C99" t="s">
        <v>9</v>
      </c>
      <c r="D99" t="s">
        <v>10</v>
      </c>
      <c r="E99" t="s">
        <v>78</v>
      </c>
      <c r="F99" s="9">
        <v>22</v>
      </c>
      <c r="G99" s="10">
        <v>5.0571508487427304</v>
      </c>
      <c r="H99" s="10">
        <v>1.9994416422321299</v>
      </c>
      <c r="I99" s="10">
        <v>2.9318222762985999</v>
      </c>
      <c r="J99" s="10">
        <v>5.18449459342495</v>
      </c>
      <c r="K99" s="10">
        <v>6.8878005551894903</v>
      </c>
      <c r="L99" s="10">
        <v>3.6674412277544799</v>
      </c>
      <c r="M99" s="10">
        <v>1.1171158433127699</v>
      </c>
      <c r="N99" s="10">
        <v>3.6674412277544799</v>
      </c>
      <c r="O99" s="10">
        <v>5.03397278749165</v>
      </c>
      <c r="P99" s="10">
        <v>5.60457550063607</v>
      </c>
    </row>
    <row r="100" spans="1:16" x14ac:dyDescent="0.25">
      <c r="A100" t="s">
        <v>71</v>
      </c>
      <c r="B100" t="s">
        <v>68</v>
      </c>
      <c r="C100" t="s">
        <v>12</v>
      </c>
      <c r="D100" t="s">
        <v>13</v>
      </c>
      <c r="E100" t="s">
        <v>78</v>
      </c>
      <c r="F100" s="9">
        <v>22</v>
      </c>
      <c r="G100" s="10">
        <v>2.3731647287516502</v>
      </c>
      <c r="H100" s="10">
        <v>1.0663327468441499</v>
      </c>
      <c r="I100" s="10">
        <v>1.40417173013651</v>
      </c>
      <c r="J100" s="10">
        <v>2.6418733450894001</v>
      </c>
      <c r="K100" s="10">
        <v>3.0640868002942798</v>
      </c>
      <c r="L100" s="10">
        <v>1.713280573389</v>
      </c>
      <c r="M100" s="10">
        <v>0.937747402448041</v>
      </c>
      <c r="N100" s="10">
        <v>1.713280573389</v>
      </c>
      <c r="O100" s="10">
        <v>2.2064824160543601</v>
      </c>
      <c r="P100" s="10">
        <v>3.0570005250557002</v>
      </c>
    </row>
    <row r="101" spans="1:16" x14ac:dyDescent="0.25">
      <c r="A101" t="s">
        <v>71</v>
      </c>
      <c r="B101" t="s">
        <v>68</v>
      </c>
      <c r="C101" t="s">
        <v>14</v>
      </c>
      <c r="D101" t="s">
        <v>15</v>
      </c>
      <c r="E101" t="s">
        <v>78</v>
      </c>
      <c r="F101" s="9">
        <v>28</v>
      </c>
      <c r="G101" s="10">
        <v>0.93156389630542003</v>
      </c>
      <c r="H101" s="10">
        <v>1.8878762544537999</v>
      </c>
      <c r="I101" s="10">
        <v>-0.60518160425168899</v>
      </c>
      <c r="J101" s="10">
        <v>0.81120106535655401</v>
      </c>
      <c r="K101" s="10">
        <v>2.1698112285905702</v>
      </c>
      <c r="L101" s="10">
        <v>-0.52134065138354202</v>
      </c>
      <c r="M101" s="10">
        <v>1.8367505421396599</v>
      </c>
      <c r="N101" s="10">
        <v>-0.52134065138354202</v>
      </c>
      <c r="O101" s="10">
        <v>0.68586770266220398</v>
      </c>
      <c r="P101" s="10">
        <v>2.1595263518114698</v>
      </c>
    </row>
    <row r="102" spans="1:16" x14ac:dyDescent="0.25">
      <c r="A102" t="s">
        <v>71</v>
      </c>
      <c r="B102" t="s">
        <v>68</v>
      </c>
      <c r="C102" t="s">
        <v>16</v>
      </c>
      <c r="D102" t="s">
        <v>17</v>
      </c>
      <c r="E102" t="s">
        <v>78</v>
      </c>
      <c r="F102" s="9">
        <v>28</v>
      </c>
      <c r="G102" s="10">
        <v>0.903458311080933</v>
      </c>
      <c r="H102" s="10">
        <v>0.30373026859551</v>
      </c>
      <c r="I102" s="10">
        <v>0.73133660888671903</v>
      </c>
      <c r="J102" s="10">
        <v>0.93946688079833995</v>
      </c>
      <c r="K102" s="10">
        <v>1.10918808174134</v>
      </c>
      <c r="L102" s="10">
        <v>0.70525517921546699</v>
      </c>
      <c r="M102" s="10">
        <v>0.28568262705981801</v>
      </c>
      <c r="N102" s="10">
        <v>0.70525517921546699</v>
      </c>
      <c r="O102" s="10">
        <v>0.83540242983830704</v>
      </c>
      <c r="P102" s="10">
        <v>1.0662543570687699</v>
      </c>
    </row>
    <row r="103" spans="1:16" x14ac:dyDescent="0.25">
      <c r="A103" t="s">
        <v>71</v>
      </c>
      <c r="B103" t="s">
        <v>67</v>
      </c>
      <c r="C103" t="s">
        <v>18</v>
      </c>
      <c r="D103" t="s">
        <v>19</v>
      </c>
      <c r="E103" t="s">
        <v>78</v>
      </c>
      <c r="F103" s="9">
        <v>28</v>
      </c>
      <c r="G103" s="10">
        <v>0.958353557346874</v>
      </c>
      <c r="H103" s="10">
        <v>0.83222143022195005</v>
      </c>
      <c r="I103" s="10">
        <v>0.412605276504448</v>
      </c>
      <c r="J103" s="10">
        <v>0.79306317425835304</v>
      </c>
      <c r="K103" s="10">
        <v>1.60517780263403</v>
      </c>
      <c r="L103" s="10">
        <v>0.39872258733254301</v>
      </c>
      <c r="M103" s="10">
        <v>0.83628473320019303</v>
      </c>
      <c r="N103" s="10">
        <v>0.39872258733254301</v>
      </c>
      <c r="O103" s="10">
        <v>0.94950406158808098</v>
      </c>
      <c r="P103" s="10">
        <v>1.6171759767226801</v>
      </c>
    </row>
    <row r="104" spans="1:16" x14ac:dyDescent="0.25">
      <c r="A104" t="s">
        <v>71</v>
      </c>
      <c r="B104" t="s">
        <v>67</v>
      </c>
      <c r="C104" t="s">
        <v>20</v>
      </c>
      <c r="D104" t="s">
        <v>21</v>
      </c>
      <c r="E104" t="s">
        <v>78</v>
      </c>
      <c r="F104" s="9">
        <v>28</v>
      </c>
      <c r="G104" s="10">
        <v>1.5469426714446699</v>
      </c>
      <c r="H104" s="10">
        <v>2.2587558903225302</v>
      </c>
      <c r="I104" s="10">
        <v>0.22100892357058499</v>
      </c>
      <c r="J104" s="10">
        <v>1.1044829054582801</v>
      </c>
      <c r="K104" s="10">
        <v>2.53302117522143</v>
      </c>
      <c r="L104" s="10">
        <v>0.223430282691606</v>
      </c>
      <c r="M104" s="10">
        <v>2.1600353862100201</v>
      </c>
      <c r="N104" s="10">
        <v>0.223430282691606</v>
      </c>
      <c r="O104" s="10">
        <v>1.1451872905678899</v>
      </c>
      <c r="P104" s="10">
        <v>2.38507619444264</v>
      </c>
    </row>
    <row r="105" spans="1:16" x14ac:dyDescent="0.25">
      <c r="A105" t="s">
        <v>71</v>
      </c>
      <c r="B105" t="s">
        <v>67</v>
      </c>
      <c r="C105" t="s">
        <v>22</v>
      </c>
      <c r="D105" t="s">
        <v>23</v>
      </c>
      <c r="E105" t="s">
        <v>78</v>
      </c>
      <c r="F105" s="9">
        <v>28</v>
      </c>
      <c r="G105" s="10">
        <v>0.90337329577069703</v>
      </c>
      <c r="H105" s="10">
        <v>0.67093775509054498</v>
      </c>
      <c r="I105" s="10">
        <v>0.329357126754521</v>
      </c>
      <c r="J105" s="10">
        <v>0.72464165698754002</v>
      </c>
      <c r="K105" s="10">
        <v>1.4375045458562501</v>
      </c>
      <c r="L105" s="10">
        <v>0.28590782046204199</v>
      </c>
      <c r="M105" s="10">
        <v>0.63990468585330096</v>
      </c>
      <c r="N105" s="10">
        <v>0.28590782046204199</v>
      </c>
      <c r="O105" s="10">
        <v>0.84173675645113699</v>
      </c>
      <c r="P105" s="10">
        <v>1.46915897495922</v>
      </c>
    </row>
    <row r="106" spans="1:16" x14ac:dyDescent="0.25">
      <c r="A106" t="s">
        <v>71</v>
      </c>
      <c r="B106" t="s">
        <v>67</v>
      </c>
      <c r="C106" t="s">
        <v>24</v>
      </c>
      <c r="D106" t="s">
        <v>25</v>
      </c>
      <c r="E106" t="s">
        <v>78</v>
      </c>
      <c r="F106" s="9">
        <v>28</v>
      </c>
      <c r="G106" s="10">
        <v>2.2271986100311998</v>
      </c>
      <c r="H106" s="10">
        <v>1.52663213920109</v>
      </c>
      <c r="I106" s="10">
        <v>0.97627216374568504</v>
      </c>
      <c r="J106" s="10">
        <v>1.9644380613510199</v>
      </c>
      <c r="K106" s="10">
        <v>3.5620699537121499</v>
      </c>
      <c r="L106" s="10">
        <v>0.87969819069212396</v>
      </c>
      <c r="M106" s="10">
        <v>1.26827117721934</v>
      </c>
      <c r="N106" s="10">
        <v>0.87969819069212396</v>
      </c>
      <c r="O106" s="10">
        <v>2.0517776430855101</v>
      </c>
      <c r="P106" s="10">
        <v>3.2532536635397502</v>
      </c>
    </row>
    <row r="107" spans="1:16" x14ac:dyDescent="0.25">
      <c r="A107" t="s">
        <v>71</v>
      </c>
      <c r="B107" t="s">
        <v>67</v>
      </c>
      <c r="C107" t="s">
        <v>26</v>
      </c>
      <c r="D107" t="s">
        <v>27</v>
      </c>
      <c r="E107" t="s">
        <v>78</v>
      </c>
      <c r="F107" s="9">
        <v>28</v>
      </c>
      <c r="G107" s="10">
        <v>0.950959830816827</v>
      </c>
      <c r="H107" s="10">
        <v>0.57278422958094199</v>
      </c>
      <c r="I107" s="10">
        <v>0.465548847313563</v>
      </c>
      <c r="J107" s="10">
        <v>0.95884517058047503</v>
      </c>
      <c r="K107" s="10">
        <v>1.3902321951765499</v>
      </c>
      <c r="L107" s="10">
        <v>0.397077946362902</v>
      </c>
      <c r="M107" s="10">
        <v>0.72467181710365303</v>
      </c>
      <c r="N107" s="10">
        <v>0.397077946362902</v>
      </c>
      <c r="O107" s="10">
        <v>0.81898649219190001</v>
      </c>
      <c r="P107" s="10">
        <v>1.4701890104777899</v>
      </c>
    </row>
    <row r="108" spans="1:16" x14ac:dyDescent="0.25">
      <c r="A108" t="s">
        <v>71</v>
      </c>
      <c r="B108" t="s">
        <v>67</v>
      </c>
      <c r="C108" t="s">
        <v>28</v>
      </c>
      <c r="D108" t="s">
        <v>29</v>
      </c>
      <c r="E108" t="s">
        <v>78</v>
      </c>
      <c r="F108" s="9">
        <v>28</v>
      </c>
      <c r="G108" s="10">
        <v>0.37252714185964603</v>
      </c>
      <c r="H108" s="10">
        <v>0.32585463585655799</v>
      </c>
      <c r="I108" s="10">
        <v>0.115410178253206</v>
      </c>
      <c r="J108" s="10">
        <v>0.24457427846245</v>
      </c>
      <c r="K108" s="10">
        <v>0.63786145276265205</v>
      </c>
      <c r="L108" s="10">
        <v>0.14064139935000999</v>
      </c>
      <c r="M108" s="10">
        <v>0.30620749826032501</v>
      </c>
      <c r="N108" s="10">
        <v>0.14064139935000999</v>
      </c>
      <c r="O108" s="10">
        <v>0.25017208868843299</v>
      </c>
      <c r="P108" s="10">
        <v>0.56457835943372503</v>
      </c>
    </row>
    <row r="109" spans="1:16" x14ac:dyDescent="0.25">
      <c r="A109" t="s">
        <v>71</v>
      </c>
      <c r="B109" t="s">
        <v>9</v>
      </c>
      <c r="C109" t="s">
        <v>30</v>
      </c>
      <c r="D109" t="s">
        <v>31</v>
      </c>
      <c r="E109" t="s">
        <v>78</v>
      </c>
      <c r="F109" s="9">
        <v>22</v>
      </c>
      <c r="G109" s="10">
        <v>0.33623080213663997</v>
      </c>
      <c r="H109" s="10">
        <v>0.51990149605200497</v>
      </c>
      <c r="I109" s="10">
        <v>5.0099287236989804E-3</v>
      </c>
      <c r="J109" s="10">
        <v>3.10958271397016E-2</v>
      </c>
      <c r="K109" s="10">
        <v>0.68157194926744702</v>
      </c>
      <c r="L109" s="10">
        <v>7.4914479075183903E-3</v>
      </c>
      <c r="M109" s="10">
        <v>0.46049938806902901</v>
      </c>
      <c r="N109" s="10">
        <v>7.4914479075183903E-3</v>
      </c>
      <c r="O109" s="10">
        <v>3.72591733593104E-2</v>
      </c>
      <c r="P109" s="10">
        <v>0.73539073670764898</v>
      </c>
    </row>
    <row r="110" spans="1:16" x14ac:dyDescent="0.25">
      <c r="A110" t="s">
        <v>71</v>
      </c>
      <c r="B110" t="s">
        <v>9</v>
      </c>
      <c r="C110" t="s">
        <v>32</v>
      </c>
      <c r="D110" t="s">
        <v>33</v>
      </c>
      <c r="E110" t="s">
        <v>78</v>
      </c>
      <c r="F110" s="9">
        <v>22</v>
      </c>
      <c r="G110" s="10">
        <v>9.43026854199734E-2</v>
      </c>
      <c r="H110" s="10">
        <v>0.124212901740428</v>
      </c>
      <c r="I110" s="10">
        <v>0</v>
      </c>
      <c r="J110" s="10">
        <v>3.4568796443920302E-2</v>
      </c>
      <c r="K110" s="10">
        <v>0.17875078893739199</v>
      </c>
      <c r="L110" s="10">
        <v>0</v>
      </c>
      <c r="M110" s="10">
        <v>0.14102056028826099</v>
      </c>
      <c r="N110" s="10">
        <v>0</v>
      </c>
      <c r="O110" s="10">
        <v>3.7641263765859002E-2</v>
      </c>
      <c r="P110" s="10">
        <v>0.141434270155602</v>
      </c>
    </row>
    <row r="111" spans="1:16" x14ac:dyDescent="0.25">
      <c r="A111" t="s">
        <v>71</v>
      </c>
      <c r="B111" t="s">
        <v>9</v>
      </c>
      <c r="C111" t="s">
        <v>34</v>
      </c>
      <c r="D111" t="s">
        <v>35</v>
      </c>
      <c r="E111" t="s">
        <v>78</v>
      </c>
      <c r="F111" s="9">
        <v>22</v>
      </c>
      <c r="G111" s="10">
        <v>0.43047364737487498</v>
      </c>
      <c r="H111" s="10">
        <v>0.48563296345521101</v>
      </c>
      <c r="I111" s="10">
        <v>9.4368174156853807E-2</v>
      </c>
      <c r="J111" s="10">
        <v>0.31204625466868802</v>
      </c>
      <c r="K111" s="10">
        <v>0.64844121793413301</v>
      </c>
      <c r="L111" s="10">
        <v>9.84988661768324E-2</v>
      </c>
      <c r="M111" s="10">
        <v>0.42653171320014399</v>
      </c>
      <c r="N111" s="10">
        <v>9.84988661768324E-2</v>
      </c>
      <c r="O111" s="10">
        <v>0.27400395155858998</v>
      </c>
      <c r="P111" s="10">
        <v>0.72110486670089902</v>
      </c>
    </row>
    <row r="112" spans="1:16" x14ac:dyDescent="0.25">
      <c r="A112" t="s">
        <v>71</v>
      </c>
      <c r="B112" t="s">
        <v>9</v>
      </c>
      <c r="C112" t="s">
        <v>36</v>
      </c>
      <c r="D112" t="s">
        <v>37</v>
      </c>
      <c r="E112" t="s">
        <v>78</v>
      </c>
      <c r="F112" s="9">
        <v>25</v>
      </c>
      <c r="G112" s="10">
        <v>1.2658128959655801</v>
      </c>
      <c r="H112" s="10">
        <v>0.68462124534566904</v>
      </c>
      <c r="I112" s="10">
        <v>0.52315973281860295</v>
      </c>
      <c r="J112" s="10">
        <v>1.3772163391113399</v>
      </c>
      <c r="K112" s="10">
        <v>1.7380323600769001</v>
      </c>
      <c r="L112" s="10">
        <v>0.68449720351758803</v>
      </c>
      <c r="M112" s="10">
        <v>0.541772915908311</v>
      </c>
      <c r="N112" s="10">
        <v>0.68449720351758803</v>
      </c>
      <c r="O112" s="10">
        <v>1.1380343741113701</v>
      </c>
      <c r="P112" s="10">
        <v>1.3302569392546</v>
      </c>
    </row>
    <row r="113" spans="1:16" x14ac:dyDescent="0.25">
      <c r="A113" t="s">
        <v>71</v>
      </c>
      <c r="B113" t="s">
        <v>9</v>
      </c>
      <c r="C113" t="s">
        <v>38</v>
      </c>
      <c r="D113" t="s">
        <v>39</v>
      </c>
      <c r="E113" t="s">
        <v>78</v>
      </c>
      <c r="F113" s="9">
        <v>25</v>
      </c>
      <c r="G113" s="10">
        <v>1.6789369509929499</v>
      </c>
      <c r="H113" s="10">
        <v>0.75737481576199694</v>
      </c>
      <c r="I113" s="10">
        <v>1.12786120131445</v>
      </c>
      <c r="J113" s="10">
        <v>1.5441714574890399</v>
      </c>
      <c r="K113" s="10">
        <v>2.1994088119886399</v>
      </c>
      <c r="L113" s="10">
        <v>0.91826493770411399</v>
      </c>
      <c r="M113" s="10">
        <v>1.0227694113975601</v>
      </c>
      <c r="N113" s="10">
        <v>0.91826493770411399</v>
      </c>
      <c r="O113" s="10">
        <v>1.62002129686537</v>
      </c>
      <c r="P113" s="10">
        <v>2.34367802699022</v>
      </c>
    </row>
    <row r="114" spans="1:16" x14ac:dyDescent="0.25">
      <c r="A114" t="s">
        <v>71</v>
      </c>
      <c r="B114" t="s">
        <v>9</v>
      </c>
      <c r="C114" t="s">
        <v>40</v>
      </c>
      <c r="D114" t="s">
        <v>41</v>
      </c>
      <c r="E114" t="s">
        <v>78</v>
      </c>
      <c r="F114" s="9">
        <v>27</v>
      </c>
      <c r="G114" s="10">
        <v>0.88775318834102601</v>
      </c>
      <c r="H114" s="10">
        <v>0.41687933502840901</v>
      </c>
      <c r="I114" s="10">
        <v>0.57366783303966495</v>
      </c>
      <c r="J114" s="10">
        <v>0.86963162960330798</v>
      </c>
      <c r="K114" s="10">
        <v>1.15329921088142</v>
      </c>
      <c r="L114" s="10">
        <v>0.58683908551351405</v>
      </c>
      <c r="M114" s="10">
        <v>0.32854082543199098</v>
      </c>
      <c r="N114" s="10">
        <v>0.58683908551351405</v>
      </c>
      <c r="O114" s="10">
        <v>0.835862106875494</v>
      </c>
      <c r="P114" s="10">
        <v>0.91280848447528795</v>
      </c>
    </row>
    <row r="115" spans="1:16" x14ac:dyDescent="0.25">
      <c r="A115" t="s">
        <v>71</v>
      </c>
      <c r="B115" t="s">
        <v>9</v>
      </c>
      <c r="C115" t="s">
        <v>42</v>
      </c>
      <c r="D115" t="s">
        <v>43</v>
      </c>
      <c r="E115" t="s">
        <v>78</v>
      </c>
      <c r="F115" s="9">
        <v>0</v>
      </c>
      <c r="G115" s="13" t="s">
        <v>11</v>
      </c>
      <c r="H115" s="13" t="s">
        <v>11</v>
      </c>
      <c r="I115" s="13" t="s">
        <v>11</v>
      </c>
      <c r="J115" s="13" t="s">
        <v>11</v>
      </c>
      <c r="K115" s="13" t="s">
        <v>11</v>
      </c>
      <c r="L115" s="13" t="s">
        <v>11</v>
      </c>
      <c r="M115" s="13" t="s">
        <v>11</v>
      </c>
      <c r="N115" s="13" t="s">
        <v>11</v>
      </c>
      <c r="O115" s="13" t="s">
        <v>11</v>
      </c>
      <c r="P115" s="13" t="s">
        <v>11</v>
      </c>
    </row>
    <row r="116" spans="1:16" x14ac:dyDescent="0.25">
      <c r="A116" t="s">
        <v>71</v>
      </c>
      <c r="B116" t="s">
        <v>12</v>
      </c>
      <c r="C116" t="s">
        <v>44</v>
      </c>
      <c r="D116" t="s">
        <v>45</v>
      </c>
      <c r="E116" t="s">
        <v>78</v>
      </c>
      <c r="F116" s="9">
        <v>28</v>
      </c>
      <c r="G116" s="10">
        <v>0.65967922326966599</v>
      </c>
      <c r="H116" s="10">
        <v>0.76550886282765196</v>
      </c>
      <c r="I116" s="10">
        <v>7.7292308508465996E-2</v>
      </c>
      <c r="J116" s="10">
        <v>0.85702148577739901</v>
      </c>
      <c r="K116" s="10">
        <v>1.3489865367156599</v>
      </c>
      <c r="L116" s="10">
        <v>5.9323764092130499E-2</v>
      </c>
      <c r="M116" s="10">
        <v>0.73519416249069303</v>
      </c>
      <c r="N116" s="10">
        <v>5.9323764092130499E-2</v>
      </c>
      <c r="O116" s="10">
        <v>0.81762133390845704</v>
      </c>
      <c r="P116" s="10">
        <v>1.12381675670827</v>
      </c>
    </row>
    <row r="117" spans="1:16" x14ac:dyDescent="0.25">
      <c r="A117" t="s">
        <v>71</v>
      </c>
      <c r="B117" t="s">
        <v>12</v>
      </c>
      <c r="C117" t="s">
        <v>46</v>
      </c>
      <c r="D117" t="s">
        <v>47</v>
      </c>
      <c r="E117" t="s">
        <v>78</v>
      </c>
      <c r="F117" s="9">
        <v>0</v>
      </c>
      <c r="G117" s="13" t="s">
        <v>11</v>
      </c>
      <c r="H117" s="13" t="s">
        <v>11</v>
      </c>
      <c r="I117" s="13" t="s">
        <v>11</v>
      </c>
      <c r="J117" s="13" t="s">
        <v>11</v>
      </c>
      <c r="K117" s="13" t="s">
        <v>11</v>
      </c>
      <c r="L117" s="13" t="s">
        <v>11</v>
      </c>
      <c r="M117" s="13" t="s">
        <v>11</v>
      </c>
      <c r="N117" s="13" t="s">
        <v>11</v>
      </c>
      <c r="O117" s="13" t="s">
        <v>11</v>
      </c>
      <c r="P117" s="13" t="s">
        <v>11</v>
      </c>
    </row>
    <row r="118" spans="1:16" x14ac:dyDescent="0.25">
      <c r="A118" t="s">
        <v>71</v>
      </c>
      <c r="B118" t="s">
        <v>12</v>
      </c>
      <c r="C118" t="s">
        <v>48</v>
      </c>
      <c r="D118" t="s">
        <v>49</v>
      </c>
      <c r="E118" t="s">
        <v>78</v>
      </c>
      <c r="F118" s="9">
        <v>7</v>
      </c>
      <c r="G118" s="10">
        <v>5.0691117193933898E-2</v>
      </c>
      <c r="H118" s="10">
        <v>4.2356588799491099E-2</v>
      </c>
      <c r="I118" s="10">
        <v>7.5107402449603603E-3</v>
      </c>
      <c r="J118" s="10">
        <v>3.2672854562507403E-2</v>
      </c>
      <c r="K118" s="10">
        <v>8.3889366457684106E-2</v>
      </c>
      <c r="L118" s="10">
        <v>6.0941691792229004E-3</v>
      </c>
      <c r="M118" s="10">
        <v>3.47324313465701E-2</v>
      </c>
      <c r="N118" s="10">
        <v>6.0941691792229004E-3</v>
      </c>
      <c r="O118" s="10">
        <v>3.44374852709304E-2</v>
      </c>
      <c r="P118" s="10">
        <v>8.5492659429581799E-2</v>
      </c>
    </row>
    <row r="119" spans="1:16" x14ac:dyDescent="0.25">
      <c r="A119" t="s">
        <v>71</v>
      </c>
      <c r="B119" t="s">
        <v>14</v>
      </c>
      <c r="C119" t="s">
        <v>50</v>
      </c>
      <c r="D119" t="s">
        <v>51</v>
      </c>
      <c r="E119" t="s">
        <v>78</v>
      </c>
      <c r="F119" s="9">
        <v>15</v>
      </c>
      <c r="G119" s="10">
        <v>1.2840434327233201</v>
      </c>
      <c r="H119" s="10">
        <v>1.68985319659149</v>
      </c>
      <c r="I119" s="10">
        <v>-9.6545169759626306E-2</v>
      </c>
      <c r="J119" s="10">
        <v>1.2981174788065699</v>
      </c>
      <c r="K119" s="10">
        <v>2.0832576952284998</v>
      </c>
      <c r="L119" s="10">
        <v>-0.104314937653468</v>
      </c>
      <c r="M119" s="10">
        <v>1.7077042470516799</v>
      </c>
      <c r="N119" s="10">
        <v>-0.104314937653468</v>
      </c>
      <c r="O119" s="10">
        <v>1.63394169690642</v>
      </c>
      <c r="P119" s="10">
        <v>1.7986960588418299</v>
      </c>
    </row>
    <row r="120" spans="1:16" x14ac:dyDescent="0.25">
      <c r="A120" t="s">
        <v>71</v>
      </c>
      <c r="B120" t="s">
        <v>14</v>
      </c>
      <c r="C120" t="s">
        <v>52</v>
      </c>
      <c r="D120" t="s">
        <v>53</v>
      </c>
      <c r="E120" t="s">
        <v>78</v>
      </c>
      <c r="F120" s="9">
        <v>24</v>
      </c>
      <c r="G120" s="10">
        <v>0.15609984688374801</v>
      </c>
      <c r="H120" s="10">
        <v>0.65706077735405399</v>
      </c>
      <c r="I120" s="10">
        <v>0</v>
      </c>
      <c r="J120" s="10">
        <v>1.76050872874105E-2</v>
      </c>
      <c r="K120" s="10">
        <v>4.9517734957734302E-2</v>
      </c>
      <c r="L120" s="10">
        <v>0</v>
      </c>
      <c r="M120" s="10">
        <v>0.68549181453879504</v>
      </c>
      <c r="N120" s="10">
        <v>0</v>
      </c>
      <c r="O120" s="10">
        <v>1.55558213929523E-2</v>
      </c>
      <c r="P120" s="10">
        <v>5.96626977466541E-2</v>
      </c>
    </row>
    <row r="121" spans="1:16" x14ac:dyDescent="0.25">
      <c r="A121" s="8" t="s">
        <v>71</v>
      </c>
      <c r="B121" s="8" t="s">
        <v>14</v>
      </c>
      <c r="C121" s="8" t="s">
        <v>54</v>
      </c>
      <c r="D121" s="8" t="s">
        <v>55</v>
      </c>
      <c r="E121" s="8" t="s">
        <v>78</v>
      </c>
      <c r="F121" s="11">
        <v>0</v>
      </c>
      <c r="G121" s="14" t="s">
        <v>11</v>
      </c>
      <c r="H121" s="14" t="s">
        <v>11</v>
      </c>
      <c r="I121" s="14" t="s">
        <v>11</v>
      </c>
      <c r="J121" s="14" t="s">
        <v>11</v>
      </c>
      <c r="K121" s="14" t="s">
        <v>11</v>
      </c>
      <c r="L121" s="14" t="s">
        <v>11</v>
      </c>
      <c r="M121" s="14" t="s">
        <v>11</v>
      </c>
      <c r="N121" s="14" t="s">
        <v>11</v>
      </c>
      <c r="O121" s="14" t="s">
        <v>11</v>
      </c>
      <c r="P121" s="14" t="s">
        <v>11</v>
      </c>
    </row>
    <row r="122" spans="1:16" x14ac:dyDescent="0.25">
      <c r="A122" t="s">
        <v>71</v>
      </c>
      <c r="B122" t="s">
        <v>68</v>
      </c>
      <c r="C122" t="s">
        <v>67</v>
      </c>
      <c r="D122" t="s">
        <v>8</v>
      </c>
      <c r="E122" t="s">
        <v>79</v>
      </c>
      <c r="F122" s="9">
        <v>84</v>
      </c>
      <c r="G122" s="10">
        <v>6.9065862948087204</v>
      </c>
      <c r="H122" s="10">
        <v>1.2814272006777201</v>
      </c>
      <c r="I122" s="10">
        <v>6.0971367051282996</v>
      </c>
      <c r="J122" s="10">
        <v>6.6421535860395498</v>
      </c>
      <c r="K122" s="10">
        <v>7.2712551963101504</v>
      </c>
      <c r="L122" s="10">
        <v>6.5988763358708198</v>
      </c>
      <c r="M122" s="10">
        <v>1.08203305630423</v>
      </c>
      <c r="N122" s="10">
        <v>6.5988763358708198</v>
      </c>
      <c r="O122" s="10">
        <v>7.0031454392751398</v>
      </c>
      <c r="P122" s="10">
        <v>7.6929421170150603</v>
      </c>
    </row>
    <row r="123" spans="1:16" x14ac:dyDescent="0.25">
      <c r="A123" t="s">
        <v>71</v>
      </c>
      <c r="B123" t="s">
        <v>68</v>
      </c>
      <c r="C123" t="s">
        <v>9</v>
      </c>
      <c r="D123" t="s">
        <v>10</v>
      </c>
      <c r="E123" t="s">
        <v>79</v>
      </c>
      <c r="F123" s="9">
        <v>69</v>
      </c>
      <c r="G123" s="10">
        <v>4.8354316464024301</v>
      </c>
      <c r="H123" s="10">
        <v>0.84828035929231305</v>
      </c>
      <c r="I123" s="10">
        <v>4.4966735975616201</v>
      </c>
      <c r="J123" s="10">
        <v>5.0118204994458404</v>
      </c>
      <c r="K123" s="10">
        <v>5.3177996890664696</v>
      </c>
      <c r="L123" s="10">
        <v>4.91910560147124</v>
      </c>
      <c r="M123" s="10">
        <v>0.82688494316872696</v>
      </c>
      <c r="N123" s="10">
        <v>4.91910560147124</v>
      </c>
      <c r="O123" s="10">
        <v>5.0818246030386902</v>
      </c>
      <c r="P123" s="10">
        <v>5.3366162564236204</v>
      </c>
    </row>
    <row r="124" spans="1:16" x14ac:dyDescent="0.25">
      <c r="A124" t="s">
        <v>71</v>
      </c>
      <c r="B124" t="s">
        <v>68</v>
      </c>
      <c r="C124" t="s">
        <v>12</v>
      </c>
      <c r="D124" t="s">
        <v>13</v>
      </c>
      <c r="E124" t="s">
        <v>79</v>
      </c>
      <c r="F124" s="9">
        <v>70</v>
      </c>
      <c r="G124" s="10">
        <v>3.23584233519844</v>
      </c>
      <c r="H124" s="10">
        <v>0.97566605403624496</v>
      </c>
      <c r="I124" s="10">
        <v>2.8306795665893101</v>
      </c>
      <c r="J124" s="10">
        <v>3.27362702227928</v>
      </c>
      <c r="K124" s="10">
        <v>3.6855923953963701</v>
      </c>
      <c r="L124" s="10">
        <v>3.0110077038517602</v>
      </c>
      <c r="M124" s="10">
        <v>0.56576655526555697</v>
      </c>
      <c r="N124" s="10">
        <v>3.0110077038517602</v>
      </c>
      <c r="O124" s="10">
        <v>3.6679330606086902</v>
      </c>
      <c r="P124" s="10">
        <v>3.8798434388497398</v>
      </c>
    </row>
    <row r="125" spans="1:16" x14ac:dyDescent="0.25">
      <c r="A125" t="s">
        <v>71</v>
      </c>
      <c r="B125" t="s">
        <v>68</v>
      </c>
      <c r="C125" t="s">
        <v>14</v>
      </c>
      <c r="D125" t="s">
        <v>15</v>
      </c>
      <c r="E125" t="s">
        <v>79</v>
      </c>
      <c r="F125" s="9">
        <v>77</v>
      </c>
      <c r="G125" s="10">
        <v>1.94365931233625</v>
      </c>
      <c r="H125" s="10">
        <v>0.729159134356968</v>
      </c>
      <c r="I125" s="10">
        <v>1.44966079598986</v>
      </c>
      <c r="J125" s="10">
        <v>2.03776253261905</v>
      </c>
      <c r="K125" s="10">
        <v>2.4342562018470502</v>
      </c>
      <c r="L125" s="10">
        <v>1.4860369807287299</v>
      </c>
      <c r="M125" s="10">
        <v>0.51609628941373498</v>
      </c>
      <c r="N125" s="10">
        <v>1.4860369807287299</v>
      </c>
      <c r="O125" s="10">
        <v>2.0616398009052799</v>
      </c>
      <c r="P125" s="10">
        <v>2.4546724764711199</v>
      </c>
    </row>
    <row r="126" spans="1:16" x14ac:dyDescent="0.25">
      <c r="A126" t="s">
        <v>71</v>
      </c>
      <c r="B126" t="s">
        <v>68</v>
      </c>
      <c r="C126" t="s">
        <v>16</v>
      </c>
      <c r="D126" t="s">
        <v>17</v>
      </c>
      <c r="E126" t="s">
        <v>79</v>
      </c>
      <c r="F126" s="9">
        <v>81</v>
      </c>
      <c r="G126" s="10">
        <v>1.3374061905810899</v>
      </c>
      <c r="H126" s="10">
        <v>0.26460213540670702</v>
      </c>
      <c r="I126" s="10">
        <v>1.1584944721570001</v>
      </c>
      <c r="J126" s="10">
        <v>1.3939685227268901</v>
      </c>
      <c r="K126" s="10">
        <v>1.51403643172235</v>
      </c>
      <c r="L126" s="10">
        <v>1.2707916756592399</v>
      </c>
      <c r="M126" s="10">
        <v>0.24478644138866101</v>
      </c>
      <c r="N126" s="10">
        <v>1.2707916756592399</v>
      </c>
      <c r="O126" s="10">
        <v>1.4175193886059401</v>
      </c>
      <c r="P126" s="10">
        <v>1.4676296034890699</v>
      </c>
    </row>
    <row r="127" spans="1:16" x14ac:dyDescent="0.25">
      <c r="A127" t="s">
        <v>71</v>
      </c>
      <c r="B127" t="s">
        <v>67</v>
      </c>
      <c r="C127" t="s">
        <v>18</v>
      </c>
      <c r="D127" t="s">
        <v>19</v>
      </c>
      <c r="E127" t="s">
        <v>79</v>
      </c>
      <c r="F127" s="9">
        <v>93</v>
      </c>
      <c r="G127" s="10">
        <v>4.3903607208273696</v>
      </c>
      <c r="H127" s="10">
        <v>1.7853350355773601</v>
      </c>
      <c r="I127" s="10">
        <v>2.9175741929669701</v>
      </c>
      <c r="J127" s="10">
        <v>4.1970642226545101</v>
      </c>
      <c r="K127" s="10">
        <v>5.8405154441402596</v>
      </c>
      <c r="L127" s="10">
        <v>3.2123194750053701</v>
      </c>
      <c r="M127" s="10">
        <v>1.5904988852688799</v>
      </c>
      <c r="N127" s="10">
        <v>3.2123194750053701</v>
      </c>
      <c r="O127" s="10">
        <v>4.4051317943589696</v>
      </c>
      <c r="P127" s="10">
        <v>5.7428112583511499</v>
      </c>
    </row>
    <row r="128" spans="1:16" x14ac:dyDescent="0.25">
      <c r="A128" t="s">
        <v>71</v>
      </c>
      <c r="B128" t="s">
        <v>67</v>
      </c>
      <c r="C128" t="s">
        <v>20</v>
      </c>
      <c r="D128" t="s">
        <v>21</v>
      </c>
      <c r="E128" t="s">
        <v>79</v>
      </c>
      <c r="F128" s="9">
        <v>93</v>
      </c>
      <c r="G128" s="10">
        <v>3.8801703331794202</v>
      </c>
      <c r="H128" s="10">
        <v>1.4360973348574899</v>
      </c>
      <c r="I128" s="10">
        <v>2.6957700727959901</v>
      </c>
      <c r="J128" s="10">
        <v>4.1327755671414499</v>
      </c>
      <c r="K128" s="10">
        <v>4.9557321561102796</v>
      </c>
      <c r="L128" s="10">
        <v>2.76650777544892</v>
      </c>
      <c r="M128" s="10">
        <v>1.22744038269531</v>
      </c>
      <c r="N128" s="10">
        <v>2.76650777544892</v>
      </c>
      <c r="O128" s="10">
        <v>4.2974829788802698</v>
      </c>
      <c r="P128" s="10">
        <v>4.78711646581921</v>
      </c>
    </row>
    <row r="129" spans="1:16" x14ac:dyDescent="0.25">
      <c r="A129" t="s">
        <v>71</v>
      </c>
      <c r="B129" t="s">
        <v>67</v>
      </c>
      <c r="C129" t="s">
        <v>22</v>
      </c>
      <c r="D129" t="s">
        <v>23</v>
      </c>
      <c r="E129" t="s">
        <v>79</v>
      </c>
      <c r="F129" s="9">
        <v>93</v>
      </c>
      <c r="G129" s="10">
        <v>2.7721115410457098</v>
      </c>
      <c r="H129" s="10">
        <v>1.3429138112597301</v>
      </c>
      <c r="I129" s="10">
        <v>1.7853053615157</v>
      </c>
      <c r="J129" s="10">
        <v>2.9059622239484901</v>
      </c>
      <c r="K129" s="10">
        <v>3.7159167058373499</v>
      </c>
      <c r="L129" s="10">
        <v>1.8452638979248099</v>
      </c>
      <c r="M129" s="10">
        <v>1.3640292951246999</v>
      </c>
      <c r="N129" s="10">
        <v>1.8452638979248099</v>
      </c>
      <c r="O129" s="10">
        <v>2.8246216907999599</v>
      </c>
      <c r="P129" s="10">
        <v>3.49500406775531</v>
      </c>
    </row>
    <row r="130" spans="1:16" x14ac:dyDescent="0.25">
      <c r="A130" t="s">
        <v>71</v>
      </c>
      <c r="B130" t="s">
        <v>67</v>
      </c>
      <c r="C130" t="s">
        <v>24</v>
      </c>
      <c r="D130" t="s">
        <v>25</v>
      </c>
      <c r="E130" t="s">
        <v>79</v>
      </c>
      <c r="F130" s="9">
        <v>83</v>
      </c>
      <c r="G130" s="10">
        <v>0.198321208677568</v>
      </c>
      <c r="H130" s="10">
        <v>0.122620261104347</v>
      </c>
      <c r="I130" s="10">
        <v>0.11202458773669</v>
      </c>
      <c r="J130" s="10">
        <v>0.15598139888776</v>
      </c>
      <c r="K130" s="10">
        <v>0.24329116297328801</v>
      </c>
      <c r="L130" s="10">
        <v>0.118702423477606</v>
      </c>
      <c r="M130" s="10">
        <v>0.13559821639471001</v>
      </c>
      <c r="N130" s="10">
        <v>0.118702423477606</v>
      </c>
      <c r="O130" s="10">
        <v>0.17087183299660799</v>
      </c>
      <c r="P130" s="10">
        <v>0.27524219374648201</v>
      </c>
    </row>
    <row r="131" spans="1:16" x14ac:dyDescent="0.25">
      <c r="A131" t="s">
        <v>71</v>
      </c>
      <c r="B131" t="s">
        <v>67</v>
      </c>
      <c r="C131" t="s">
        <v>26</v>
      </c>
      <c r="D131" t="s">
        <v>27</v>
      </c>
      <c r="E131" t="s">
        <v>79</v>
      </c>
      <c r="F131" s="9">
        <v>83</v>
      </c>
      <c r="G131" s="10">
        <v>0.85803537021257903</v>
      </c>
      <c r="H131" s="10">
        <v>0.70274551341730895</v>
      </c>
      <c r="I131" s="10">
        <v>0.351187689199353</v>
      </c>
      <c r="J131" s="10">
        <v>0.63259427536189194</v>
      </c>
      <c r="K131" s="10">
        <v>0.91495556322312399</v>
      </c>
      <c r="L131" s="10">
        <v>0.35259138027315401</v>
      </c>
      <c r="M131" s="10">
        <v>1.14985286845972</v>
      </c>
      <c r="N131" s="10">
        <v>0.35259138027315401</v>
      </c>
      <c r="O131" s="10">
        <v>0.67215577649417302</v>
      </c>
      <c r="P131" s="10">
        <v>1.01150179303793</v>
      </c>
    </row>
    <row r="132" spans="1:16" x14ac:dyDescent="0.25">
      <c r="A132" t="s">
        <v>71</v>
      </c>
      <c r="B132" t="s">
        <v>67</v>
      </c>
      <c r="C132" t="s">
        <v>28</v>
      </c>
      <c r="D132" t="s">
        <v>29</v>
      </c>
      <c r="E132" t="s">
        <v>79</v>
      </c>
      <c r="F132" s="9">
        <v>83</v>
      </c>
      <c r="G132" s="10">
        <v>6.3018731700653002E-2</v>
      </c>
      <c r="H132" s="10">
        <v>0.112297886300607</v>
      </c>
      <c r="I132" s="10">
        <v>1.09840312243488E-2</v>
      </c>
      <c r="J132" s="10">
        <v>1.4788576062343701E-2</v>
      </c>
      <c r="K132" s="10">
        <v>8.78032606101284E-2</v>
      </c>
      <c r="L132" s="10">
        <v>1.11754446250567E-2</v>
      </c>
      <c r="M132" s="10">
        <v>0.20100554293737</v>
      </c>
      <c r="N132" s="10">
        <v>1.11754446250567E-2</v>
      </c>
      <c r="O132" s="10">
        <v>1.42097465716025E-2</v>
      </c>
      <c r="P132" s="10">
        <v>8.0801834604421696E-2</v>
      </c>
    </row>
    <row r="133" spans="1:16" x14ac:dyDescent="0.25">
      <c r="A133" t="s">
        <v>71</v>
      </c>
      <c r="B133" t="s">
        <v>9</v>
      </c>
      <c r="C133" t="s">
        <v>30</v>
      </c>
      <c r="D133" t="s">
        <v>31</v>
      </c>
      <c r="E133" t="s">
        <v>79</v>
      </c>
      <c r="F133" s="9">
        <v>69</v>
      </c>
      <c r="G133" s="10">
        <v>0.49070624821068798</v>
      </c>
      <c r="H133" s="10">
        <v>0.353681824145192</v>
      </c>
      <c r="I133" s="10">
        <v>0.21729259748645</v>
      </c>
      <c r="J133" s="10">
        <v>0.45495540951633501</v>
      </c>
      <c r="K133" s="10">
        <v>0.57752689677586999</v>
      </c>
      <c r="L133" s="10">
        <v>0.24779429622307</v>
      </c>
      <c r="M133" s="10">
        <v>0.31211659007222198</v>
      </c>
      <c r="N133" s="10">
        <v>0.24779429622307</v>
      </c>
      <c r="O133" s="10">
        <v>0.48185603276128097</v>
      </c>
      <c r="P133" s="10">
        <v>0.61111432821312495</v>
      </c>
    </row>
    <row r="134" spans="1:16" x14ac:dyDescent="0.25">
      <c r="A134" t="s">
        <v>71</v>
      </c>
      <c r="B134" t="s">
        <v>9</v>
      </c>
      <c r="C134" t="s">
        <v>32</v>
      </c>
      <c r="D134" t="s">
        <v>33</v>
      </c>
      <c r="E134" t="s">
        <v>79</v>
      </c>
      <c r="F134" s="9">
        <v>69</v>
      </c>
      <c r="G134" s="10">
        <v>0.59234001799618197</v>
      </c>
      <c r="H134" s="10">
        <v>0.23211159569291701</v>
      </c>
      <c r="I134" s="10">
        <v>0.45467341274363299</v>
      </c>
      <c r="J134" s="10">
        <v>0.55131429120676401</v>
      </c>
      <c r="K134" s="10">
        <v>0.689894614629597</v>
      </c>
      <c r="L134" s="10">
        <v>0.458672656833438</v>
      </c>
      <c r="M134" s="10">
        <v>0.46652668566181599</v>
      </c>
      <c r="N134" s="10">
        <v>0.458672656833438</v>
      </c>
      <c r="O134" s="10">
        <v>0.56528308956934803</v>
      </c>
      <c r="P134" s="10">
        <v>0.72265369039103899</v>
      </c>
    </row>
    <row r="135" spans="1:16" x14ac:dyDescent="0.25">
      <c r="A135" t="s">
        <v>71</v>
      </c>
      <c r="B135" t="s">
        <v>9</v>
      </c>
      <c r="C135" t="s">
        <v>34</v>
      </c>
      <c r="D135" t="s">
        <v>35</v>
      </c>
      <c r="E135" t="s">
        <v>79</v>
      </c>
      <c r="F135" s="9">
        <v>69</v>
      </c>
      <c r="G135" s="10">
        <v>1.08286826317107</v>
      </c>
      <c r="H135" s="10">
        <v>0.36294977259414302</v>
      </c>
      <c r="I135" s="10">
        <v>0.89939998483676797</v>
      </c>
      <c r="J135" s="10">
        <v>1.0564613210606599</v>
      </c>
      <c r="K135" s="10">
        <v>1.37510576435553</v>
      </c>
      <c r="L135" s="10">
        <v>0.946319012099061</v>
      </c>
      <c r="M135" s="10">
        <v>0.44694490930289099</v>
      </c>
      <c r="N135" s="10">
        <v>0.946319012099061</v>
      </c>
      <c r="O135" s="10">
        <v>1.0914339079185</v>
      </c>
      <c r="P135" s="10">
        <v>1.5541178572999601</v>
      </c>
    </row>
    <row r="136" spans="1:16" x14ac:dyDescent="0.25">
      <c r="A136" t="s">
        <v>71</v>
      </c>
      <c r="B136" t="s">
        <v>9</v>
      </c>
      <c r="C136" t="s">
        <v>36</v>
      </c>
      <c r="D136" t="s">
        <v>37</v>
      </c>
      <c r="E136" t="s">
        <v>79</v>
      </c>
      <c r="F136" s="9">
        <v>73</v>
      </c>
      <c r="G136" s="10">
        <v>0.82656969097645605</v>
      </c>
      <c r="H136" s="10">
        <v>0.266654938320598</v>
      </c>
      <c r="I136" s="10">
        <v>0.75227098731204101</v>
      </c>
      <c r="J136" s="10">
        <v>0.84621882721288599</v>
      </c>
      <c r="K136" s="10">
        <v>0.99723773867217802</v>
      </c>
      <c r="L136" s="10">
        <v>0.81028710695924999</v>
      </c>
      <c r="M136" s="10">
        <v>0.19629729727790299</v>
      </c>
      <c r="N136" s="10">
        <v>0.81028710695924999</v>
      </c>
      <c r="O136" s="10">
        <v>0.88032612563534496</v>
      </c>
      <c r="P136" s="10">
        <v>0.95452538170929702</v>
      </c>
    </row>
    <row r="137" spans="1:16" x14ac:dyDescent="0.25">
      <c r="A137" t="s">
        <v>71</v>
      </c>
      <c r="B137" t="s">
        <v>9</v>
      </c>
      <c r="C137" t="s">
        <v>38</v>
      </c>
      <c r="D137" t="s">
        <v>39</v>
      </c>
      <c r="E137" t="s">
        <v>79</v>
      </c>
      <c r="F137" s="9">
        <v>0</v>
      </c>
      <c r="G137" s="13" t="s">
        <v>11</v>
      </c>
      <c r="H137" s="13" t="s">
        <v>11</v>
      </c>
      <c r="I137" s="13" t="s">
        <v>11</v>
      </c>
      <c r="J137" s="13" t="s">
        <v>11</v>
      </c>
      <c r="K137" s="13" t="s">
        <v>11</v>
      </c>
      <c r="L137" s="13" t="s">
        <v>11</v>
      </c>
      <c r="M137" s="13" t="s">
        <v>11</v>
      </c>
      <c r="N137" s="13" t="s">
        <v>11</v>
      </c>
      <c r="O137" s="13" t="s">
        <v>11</v>
      </c>
      <c r="P137" s="13" t="s">
        <v>11</v>
      </c>
    </row>
    <row r="138" spans="1:16" x14ac:dyDescent="0.25">
      <c r="A138" t="s">
        <v>71</v>
      </c>
      <c r="B138" t="s">
        <v>9</v>
      </c>
      <c r="C138" t="s">
        <v>40</v>
      </c>
      <c r="D138" t="s">
        <v>41</v>
      </c>
      <c r="E138" t="s">
        <v>79</v>
      </c>
      <c r="F138" s="9">
        <v>83</v>
      </c>
      <c r="G138" s="10">
        <v>0.23516081564757099</v>
      </c>
      <c r="H138" s="10">
        <v>0.22242948448996899</v>
      </c>
      <c r="I138" s="10">
        <v>9.4140473440927699E-2</v>
      </c>
      <c r="J138" s="10">
        <v>0.12852851639210799</v>
      </c>
      <c r="K138" s="10">
        <v>0.32372424613140799</v>
      </c>
      <c r="L138" s="10">
        <v>0.106319136600155</v>
      </c>
      <c r="M138" s="10">
        <v>0.157616877294354</v>
      </c>
      <c r="N138" s="10">
        <v>0.106319136600155</v>
      </c>
      <c r="O138" s="10">
        <v>0.124037098856998</v>
      </c>
      <c r="P138" s="10">
        <v>0.33022948837353999</v>
      </c>
    </row>
    <row r="139" spans="1:16" x14ac:dyDescent="0.25">
      <c r="A139" t="s">
        <v>71</v>
      </c>
      <c r="B139" t="s">
        <v>9</v>
      </c>
      <c r="C139" t="s">
        <v>42</v>
      </c>
      <c r="D139" t="s">
        <v>43</v>
      </c>
      <c r="E139" t="s">
        <v>79</v>
      </c>
      <c r="F139" s="9">
        <v>0</v>
      </c>
      <c r="G139" s="13" t="s">
        <v>11</v>
      </c>
      <c r="H139" s="13" t="s">
        <v>11</v>
      </c>
      <c r="I139" s="13" t="s">
        <v>11</v>
      </c>
      <c r="J139" s="13" t="s">
        <v>11</v>
      </c>
      <c r="K139" s="13" t="s">
        <v>11</v>
      </c>
      <c r="L139" s="13" t="s">
        <v>11</v>
      </c>
      <c r="M139" s="13" t="s">
        <v>11</v>
      </c>
      <c r="N139" s="13" t="s">
        <v>11</v>
      </c>
      <c r="O139" s="13" t="s">
        <v>11</v>
      </c>
      <c r="P139" s="13" t="s">
        <v>11</v>
      </c>
    </row>
    <row r="140" spans="1:16" x14ac:dyDescent="0.25">
      <c r="A140" t="s">
        <v>71</v>
      </c>
      <c r="B140" t="s">
        <v>12</v>
      </c>
      <c r="C140" t="s">
        <v>44</v>
      </c>
      <c r="D140" t="s">
        <v>45</v>
      </c>
      <c r="E140" t="s">
        <v>79</v>
      </c>
      <c r="F140" s="9">
        <v>93</v>
      </c>
      <c r="G140" s="10">
        <v>2.20143063619363</v>
      </c>
      <c r="H140" s="10">
        <v>0.93719108934777196</v>
      </c>
      <c r="I140" s="10">
        <v>1.384648636871</v>
      </c>
      <c r="J140" s="10">
        <v>2.3612092342416702</v>
      </c>
      <c r="K140" s="10">
        <v>2.8721087755164199</v>
      </c>
      <c r="L140" s="10">
        <v>1.7091071028157501</v>
      </c>
      <c r="M140" s="10">
        <v>0.79638824000366304</v>
      </c>
      <c r="N140" s="10">
        <v>1.7091071028157501</v>
      </c>
      <c r="O140" s="10">
        <v>2.20773330356602</v>
      </c>
      <c r="P140" s="10">
        <v>2.7351699789180399</v>
      </c>
    </row>
    <row r="141" spans="1:16" x14ac:dyDescent="0.25">
      <c r="A141" t="s">
        <v>71</v>
      </c>
      <c r="B141" t="s">
        <v>12</v>
      </c>
      <c r="C141" t="s">
        <v>46</v>
      </c>
      <c r="D141" t="s">
        <v>47</v>
      </c>
      <c r="E141" t="s">
        <v>79</v>
      </c>
      <c r="F141" s="9">
        <v>0</v>
      </c>
      <c r="G141" s="13" t="s">
        <v>11</v>
      </c>
      <c r="H141" s="13" t="s">
        <v>11</v>
      </c>
      <c r="I141" s="13" t="s">
        <v>11</v>
      </c>
      <c r="J141" s="13" t="s">
        <v>11</v>
      </c>
      <c r="K141" s="13" t="s">
        <v>11</v>
      </c>
      <c r="L141" s="13" t="s">
        <v>11</v>
      </c>
      <c r="M141" s="13" t="s">
        <v>11</v>
      </c>
      <c r="N141" s="13" t="s">
        <v>11</v>
      </c>
      <c r="O141" s="13" t="s">
        <v>11</v>
      </c>
      <c r="P141" s="13" t="s">
        <v>11</v>
      </c>
    </row>
    <row r="142" spans="1:16" x14ac:dyDescent="0.25">
      <c r="A142" t="s">
        <v>71</v>
      </c>
      <c r="B142" t="s">
        <v>12</v>
      </c>
      <c r="C142" t="s">
        <v>48</v>
      </c>
      <c r="D142" t="s">
        <v>49</v>
      </c>
      <c r="E142" t="s">
        <v>79</v>
      </c>
      <c r="F142" s="9">
        <v>69</v>
      </c>
      <c r="G142" s="10">
        <v>0.12166260107655801</v>
      </c>
      <c r="H142" s="10">
        <v>0.19341668790726299</v>
      </c>
      <c r="I142" s="10">
        <v>1.5402468461932E-2</v>
      </c>
      <c r="J142" s="10">
        <v>4.4556534228049297E-2</v>
      </c>
      <c r="K142" s="10">
        <v>0.14399848342398799</v>
      </c>
      <c r="L142" s="10">
        <v>1.5909054494824399E-2</v>
      </c>
      <c r="M142" s="10">
        <v>0.22733910215953099</v>
      </c>
      <c r="N142" s="10">
        <v>1.5909054494824399E-2</v>
      </c>
      <c r="O142" s="10">
        <v>4.2827479354811702E-2</v>
      </c>
      <c r="P142" s="10">
        <v>0.14346940232233399</v>
      </c>
    </row>
    <row r="143" spans="1:16" x14ac:dyDescent="0.25">
      <c r="A143" t="s">
        <v>71</v>
      </c>
      <c r="B143" t="s">
        <v>14</v>
      </c>
      <c r="C143" t="s">
        <v>50</v>
      </c>
      <c r="D143" t="s">
        <v>51</v>
      </c>
      <c r="E143" t="s">
        <v>79</v>
      </c>
      <c r="F143" s="9">
        <v>57</v>
      </c>
      <c r="G143" s="10">
        <v>9.0155706973118796E-2</v>
      </c>
      <c r="H143" s="10">
        <v>2.1076894923247502E-2</v>
      </c>
      <c r="I143" s="10">
        <v>7.1378351810405999E-2</v>
      </c>
      <c r="J143" s="10">
        <v>9.15189795E-2</v>
      </c>
      <c r="K143" s="10">
        <v>0.106983412354465</v>
      </c>
      <c r="L143" s="10">
        <v>7.6793623715641204E-2</v>
      </c>
      <c r="M143" s="10">
        <v>1.58646889758399E-2</v>
      </c>
      <c r="N143" s="10">
        <v>7.6793623715641204E-2</v>
      </c>
      <c r="O143" s="10">
        <v>9.5882177557787898E-2</v>
      </c>
      <c r="P143" s="10">
        <v>0.104369910959967</v>
      </c>
    </row>
    <row r="144" spans="1:16" x14ac:dyDescent="0.25">
      <c r="A144" t="s">
        <v>71</v>
      </c>
      <c r="B144" t="s">
        <v>14</v>
      </c>
      <c r="C144" t="s">
        <v>52</v>
      </c>
      <c r="D144" t="s">
        <v>53</v>
      </c>
      <c r="E144" t="s">
        <v>79</v>
      </c>
      <c r="F144" s="9">
        <v>77</v>
      </c>
      <c r="G144" s="10">
        <v>0.40065236002493798</v>
      </c>
      <c r="H144" s="10">
        <v>0.296833253305404</v>
      </c>
      <c r="I144" s="10">
        <v>0.226120500513423</v>
      </c>
      <c r="J144" s="10">
        <v>0.285762837735827</v>
      </c>
      <c r="K144" s="10">
        <v>0.422102783752069</v>
      </c>
      <c r="L144" s="10">
        <v>0.24311686885916001</v>
      </c>
      <c r="M144" s="10">
        <v>0.384376822261498</v>
      </c>
      <c r="N144" s="10">
        <v>0.24311686885916001</v>
      </c>
      <c r="O144" s="10">
        <v>0.29717204376567402</v>
      </c>
      <c r="P144" s="10">
        <v>0.44208205432284597</v>
      </c>
    </row>
    <row r="145" spans="1:16" x14ac:dyDescent="0.25">
      <c r="A145" s="8" t="s">
        <v>71</v>
      </c>
      <c r="B145" s="8" t="s">
        <v>14</v>
      </c>
      <c r="C145" s="8" t="s">
        <v>54</v>
      </c>
      <c r="D145" s="8" t="s">
        <v>55</v>
      </c>
      <c r="E145" s="8" t="s">
        <v>79</v>
      </c>
      <c r="F145" s="11">
        <v>0</v>
      </c>
      <c r="G145" s="14" t="s">
        <v>11</v>
      </c>
      <c r="H145" s="14" t="s">
        <v>11</v>
      </c>
      <c r="I145" s="14" t="s">
        <v>11</v>
      </c>
      <c r="J145" s="14" t="s">
        <v>11</v>
      </c>
      <c r="K145" s="14" t="s">
        <v>11</v>
      </c>
      <c r="L145" s="14" t="s">
        <v>11</v>
      </c>
      <c r="M145" s="14" t="s">
        <v>11</v>
      </c>
      <c r="N145" s="14" t="s">
        <v>11</v>
      </c>
      <c r="O145" s="14" t="s">
        <v>11</v>
      </c>
      <c r="P145" s="14" t="s">
        <v>11</v>
      </c>
    </row>
    <row r="146" spans="1:16" x14ac:dyDescent="0.25">
      <c r="A146" t="s">
        <v>71</v>
      </c>
      <c r="B146" t="s">
        <v>68</v>
      </c>
      <c r="C146" t="s">
        <v>67</v>
      </c>
      <c r="D146" t="s">
        <v>8</v>
      </c>
      <c r="E146" t="s">
        <v>80</v>
      </c>
      <c r="F146" s="9">
        <v>41</v>
      </c>
      <c r="G146" s="10">
        <v>8.3033126062627005</v>
      </c>
      <c r="H146" s="10">
        <v>1.96217581012525</v>
      </c>
      <c r="I146" s="10">
        <v>6.8587391357421899</v>
      </c>
      <c r="J146" s="10">
        <v>7.6027901966145697</v>
      </c>
      <c r="K146" s="10">
        <v>9.4557119140624994</v>
      </c>
      <c r="L146" s="10">
        <v>7.9060655246838696</v>
      </c>
      <c r="M146" s="10">
        <v>0.77365003416492195</v>
      </c>
      <c r="N146" s="10">
        <v>7.9060655246838696</v>
      </c>
      <c r="O146" s="10">
        <v>8.3034508803100398</v>
      </c>
      <c r="P146" s="10">
        <v>8.5854829925408502</v>
      </c>
    </row>
    <row r="147" spans="1:16" x14ac:dyDescent="0.25">
      <c r="A147" t="s">
        <v>71</v>
      </c>
      <c r="B147" t="s">
        <v>68</v>
      </c>
      <c r="C147" t="s">
        <v>9</v>
      </c>
      <c r="D147" t="s">
        <v>10</v>
      </c>
      <c r="E147" t="s">
        <v>80</v>
      </c>
      <c r="F147" s="9">
        <v>0</v>
      </c>
      <c r="G147" s="13" t="s">
        <v>11</v>
      </c>
      <c r="H147" s="13" t="s">
        <v>11</v>
      </c>
      <c r="I147" s="13" t="s">
        <v>11</v>
      </c>
      <c r="J147" s="13" t="s">
        <v>11</v>
      </c>
      <c r="K147" s="13" t="s">
        <v>11</v>
      </c>
      <c r="L147" s="13" t="s">
        <v>11</v>
      </c>
      <c r="M147" s="13" t="s">
        <v>11</v>
      </c>
      <c r="N147" s="13" t="s">
        <v>11</v>
      </c>
      <c r="O147" s="13" t="s">
        <v>11</v>
      </c>
      <c r="P147" s="13" t="s">
        <v>11</v>
      </c>
    </row>
    <row r="148" spans="1:16" x14ac:dyDescent="0.25">
      <c r="A148" t="s">
        <v>71</v>
      </c>
      <c r="B148" t="s">
        <v>68</v>
      </c>
      <c r="C148" t="s">
        <v>12</v>
      </c>
      <c r="D148" t="s">
        <v>13</v>
      </c>
      <c r="E148" t="s">
        <v>80</v>
      </c>
      <c r="F148" s="9">
        <v>31</v>
      </c>
      <c r="G148" s="10">
        <v>2.7197231199220502</v>
      </c>
      <c r="H148" s="10">
        <v>0.497536435592975</v>
      </c>
      <c r="I148" s="10">
        <v>2.3305764627227799</v>
      </c>
      <c r="J148" s="10">
        <v>2.5919878864135701</v>
      </c>
      <c r="K148" s="10">
        <v>3.0841820511779798</v>
      </c>
      <c r="L148" s="10">
        <v>2.6915006558480399</v>
      </c>
      <c r="M148" s="10">
        <v>0.39076468504148798</v>
      </c>
      <c r="N148" s="10">
        <v>2.6915006558480399</v>
      </c>
      <c r="O148" s="10">
        <v>2.89610053962488</v>
      </c>
      <c r="P148" s="10">
        <v>3.1623696697645598</v>
      </c>
    </row>
    <row r="149" spans="1:16" x14ac:dyDescent="0.25">
      <c r="A149" t="s">
        <v>71</v>
      </c>
      <c r="B149" t="s">
        <v>68</v>
      </c>
      <c r="C149" t="s">
        <v>14</v>
      </c>
      <c r="D149" t="s">
        <v>15</v>
      </c>
      <c r="E149" t="s">
        <v>80</v>
      </c>
      <c r="F149" s="9">
        <v>36</v>
      </c>
      <c r="G149" s="10">
        <v>1.0948514253699799</v>
      </c>
      <c r="H149" s="10">
        <v>0.80789552679906695</v>
      </c>
      <c r="I149" s="10">
        <v>0.72856703561717495</v>
      </c>
      <c r="J149" s="10">
        <v>0.811406835214316</v>
      </c>
      <c r="K149" s="10">
        <v>0.85156818270154</v>
      </c>
      <c r="L149" s="10">
        <v>0.75082558112749698</v>
      </c>
      <c r="M149" s="10">
        <v>0.58032535285380105</v>
      </c>
      <c r="N149" s="10">
        <v>0.75082558112749698</v>
      </c>
      <c r="O149" s="10">
        <v>0.93784553327423403</v>
      </c>
      <c r="P149" s="10">
        <v>1.09938410979648</v>
      </c>
    </row>
    <row r="150" spans="1:16" x14ac:dyDescent="0.25">
      <c r="A150" t="s">
        <v>71</v>
      </c>
      <c r="B150" t="s">
        <v>68</v>
      </c>
      <c r="C150" t="s">
        <v>16</v>
      </c>
      <c r="D150" t="s">
        <v>17</v>
      </c>
      <c r="E150" t="s">
        <v>80</v>
      </c>
      <c r="F150" s="9">
        <v>36</v>
      </c>
      <c r="G150" s="10">
        <v>0.66376365295749196</v>
      </c>
      <c r="H150" s="10">
        <v>0.191636841358402</v>
      </c>
      <c r="I150" s="10">
        <v>0.53747006225585903</v>
      </c>
      <c r="J150" s="10">
        <v>0.62459739685058602</v>
      </c>
      <c r="K150" s="10">
        <v>0.74928660583496098</v>
      </c>
      <c r="L150" s="10">
        <v>0.62945297454612004</v>
      </c>
      <c r="M150" s="10">
        <v>0.141013785437614</v>
      </c>
      <c r="N150" s="10">
        <v>0.62945297454612004</v>
      </c>
      <c r="O150" s="10">
        <v>0.67218129650241498</v>
      </c>
      <c r="P150" s="10">
        <v>0.72513999528865003</v>
      </c>
    </row>
    <row r="151" spans="1:16" x14ac:dyDescent="0.25">
      <c r="A151" t="s">
        <v>71</v>
      </c>
      <c r="B151" t="s">
        <v>67</v>
      </c>
      <c r="C151" t="s">
        <v>18</v>
      </c>
      <c r="D151" t="s">
        <v>19</v>
      </c>
      <c r="E151" t="s">
        <v>80</v>
      </c>
      <c r="F151" s="9">
        <v>41</v>
      </c>
      <c r="G151" s="10">
        <v>1.1332358078681</v>
      </c>
      <c r="H151" s="10">
        <v>0.60800016319607297</v>
      </c>
      <c r="I151" s="10">
        <v>0.73851972324417003</v>
      </c>
      <c r="J151" s="10">
        <v>0.99625473083015403</v>
      </c>
      <c r="K151" s="10">
        <v>1.38940241676565</v>
      </c>
      <c r="L151" s="10">
        <v>0.73123928331298405</v>
      </c>
      <c r="M151" s="10">
        <v>0.70531810138849604</v>
      </c>
      <c r="N151" s="10">
        <v>0.73123928331298405</v>
      </c>
      <c r="O151" s="10">
        <v>1.1684367549814401</v>
      </c>
      <c r="P151" s="10">
        <v>1.5860341173577399</v>
      </c>
    </row>
    <row r="152" spans="1:16" x14ac:dyDescent="0.25">
      <c r="A152" t="s">
        <v>71</v>
      </c>
      <c r="B152" t="s">
        <v>67</v>
      </c>
      <c r="C152" t="s">
        <v>20</v>
      </c>
      <c r="D152" t="s">
        <v>21</v>
      </c>
      <c r="E152" t="s">
        <v>80</v>
      </c>
      <c r="F152" s="9">
        <v>41</v>
      </c>
      <c r="G152" s="10">
        <v>1.0243514757554399</v>
      </c>
      <c r="H152" s="10">
        <v>0.461498649918064</v>
      </c>
      <c r="I152" s="10">
        <v>0.77561040453769503</v>
      </c>
      <c r="J152" s="10">
        <v>0.92994934047453703</v>
      </c>
      <c r="K152" s="10">
        <v>1.06104051178381</v>
      </c>
      <c r="L152" s="10">
        <v>0.71026673820737596</v>
      </c>
      <c r="M152" s="10">
        <v>0.36403947651167701</v>
      </c>
      <c r="N152" s="10">
        <v>0.71026673820737596</v>
      </c>
      <c r="O152" s="10">
        <v>1.01320302484374</v>
      </c>
      <c r="P152" s="10">
        <v>1.2588469077050199</v>
      </c>
    </row>
    <row r="153" spans="1:16" x14ac:dyDescent="0.25">
      <c r="A153" t="s">
        <v>71</v>
      </c>
      <c r="B153" t="s">
        <v>67</v>
      </c>
      <c r="C153" t="s">
        <v>22</v>
      </c>
      <c r="D153" t="s">
        <v>23</v>
      </c>
      <c r="E153" t="s">
        <v>80</v>
      </c>
      <c r="F153" s="9">
        <v>41</v>
      </c>
      <c r="G153" s="10">
        <v>0.88496051196111902</v>
      </c>
      <c r="H153" s="10">
        <v>0.94983804283837203</v>
      </c>
      <c r="I153" s="10">
        <v>8.36212486696465E-2</v>
      </c>
      <c r="J153" s="10">
        <v>0.639909162991944</v>
      </c>
      <c r="K153" s="10">
        <v>1.90356714962082</v>
      </c>
      <c r="L153" s="10">
        <v>5.6243075739079801E-2</v>
      </c>
      <c r="M153" s="10">
        <v>1.0500068763306201</v>
      </c>
      <c r="N153" s="10">
        <v>5.6243075739079801E-2</v>
      </c>
      <c r="O153" s="10">
        <v>0.70753215018285798</v>
      </c>
      <c r="P153" s="10">
        <v>1.8542280757868299</v>
      </c>
    </row>
    <row r="154" spans="1:16" x14ac:dyDescent="0.25">
      <c r="A154" t="s">
        <v>71</v>
      </c>
      <c r="B154" t="s">
        <v>67</v>
      </c>
      <c r="C154" t="s">
        <v>24</v>
      </c>
      <c r="D154" t="s">
        <v>25</v>
      </c>
      <c r="E154" t="s">
        <v>80</v>
      </c>
      <c r="F154" s="9">
        <v>41</v>
      </c>
      <c r="G154" s="10">
        <v>0.63841308196573499</v>
      </c>
      <c r="H154" s="10">
        <v>0.93736532154763097</v>
      </c>
      <c r="I154" s="10">
        <v>0.14790543508097501</v>
      </c>
      <c r="J154" s="10">
        <v>0.18412497026197799</v>
      </c>
      <c r="K154" s="10">
        <v>0.227498214656526</v>
      </c>
      <c r="L154" s="10">
        <v>0.145550275518778</v>
      </c>
      <c r="M154" s="10">
        <v>1.0794509883946299</v>
      </c>
      <c r="N154" s="10">
        <v>0.145550275518778</v>
      </c>
      <c r="O154" s="10">
        <v>0.20662007817641201</v>
      </c>
      <c r="P154" s="10">
        <v>0.27271660191151698</v>
      </c>
    </row>
    <row r="155" spans="1:16" x14ac:dyDescent="0.25">
      <c r="A155" t="s">
        <v>71</v>
      </c>
      <c r="B155" t="s">
        <v>67</v>
      </c>
      <c r="C155" t="s">
        <v>26</v>
      </c>
      <c r="D155" t="s">
        <v>27</v>
      </c>
      <c r="E155" t="s">
        <v>80</v>
      </c>
      <c r="F155" s="9">
        <v>41</v>
      </c>
      <c r="G155" s="10">
        <v>0.171324024753396</v>
      </c>
      <c r="H155" s="10">
        <v>0.22905096865661401</v>
      </c>
      <c r="I155" s="10">
        <v>5.5836379057190903E-2</v>
      </c>
      <c r="J155" s="10">
        <v>7.9546664694056801E-2</v>
      </c>
      <c r="K155" s="10">
        <v>0.10637481101750799</v>
      </c>
      <c r="L155" s="10">
        <v>5.7225233609012598E-2</v>
      </c>
      <c r="M155" s="10">
        <v>0.172379750448831</v>
      </c>
      <c r="N155" s="10">
        <v>5.7225233609012598E-2</v>
      </c>
      <c r="O155" s="10">
        <v>8.3130701209717606E-2</v>
      </c>
      <c r="P155" s="10">
        <v>0.11626341845905799</v>
      </c>
    </row>
    <row r="156" spans="1:16" x14ac:dyDescent="0.25">
      <c r="A156" t="s">
        <v>71</v>
      </c>
      <c r="B156" t="s">
        <v>67</v>
      </c>
      <c r="C156" t="s">
        <v>28</v>
      </c>
      <c r="D156" t="s">
        <v>29</v>
      </c>
      <c r="E156" t="s">
        <v>80</v>
      </c>
      <c r="F156" s="9">
        <v>41</v>
      </c>
      <c r="G156" s="10">
        <v>-4.2775333305971497E-2</v>
      </c>
      <c r="H156" s="10">
        <v>0.45082387620768199</v>
      </c>
      <c r="I156" s="10">
        <v>-2.0120743017710701E-2</v>
      </c>
      <c r="J156" s="10">
        <v>0.106989200862214</v>
      </c>
      <c r="K156" s="10">
        <v>0.15709559033537901</v>
      </c>
      <c r="L156" s="10">
        <v>-1.9670981324392899E-2</v>
      </c>
      <c r="M156" s="10">
        <v>0.51841006101839604</v>
      </c>
      <c r="N156" s="10">
        <v>-1.9670981324392899E-2</v>
      </c>
      <c r="O156" s="10">
        <v>0.115571640233552</v>
      </c>
      <c r="P156" s="10">
        <v>0.15633203537898999</v>
      </c>
    </row>
    <row r="157" spans="1:16" x14ac:dyDescent="0.25">
      <c r="A157" t="s">
        <v>71</v>
      </c>
      <c r="B157" t="s">
        <v>9</v>
      </c>
      <c r="C157" t="s">
        <v>30</v>
      </c>
      <c r="D157" t="s">
        <v>31</v>
      </c>
      <c r="E157" t="s">
        <v>80</v>
      </c>
      <c r="F157" s="9">
        <v>1</v>
      </c>
      <c r="G157" s="10">
        <v>-3.0260398804673203E-4</v>
      </c>
      <c r="H157" s="13" t="s">
        <v>11</v>
      </c>
      <c r="I157" s="13" t="s">
        <v>11</v>
      </c>
      <c r="J157" s="10">
        <v>-3.0331707264338702E-4</v>
      </c>
      <c r="K157" s="13" t="s">
        <v>11</v>
      </c>
      <c r="L157" s="13" t="s">
        <v>11</v>
      </c>
      <c r="M157" s="13" t="s">
        <v>11</v>
      </c>
      <c r="N157" s="13" t="s">
        <v>11</v>
      </c>
      <c r="O157" s="10">
        <v>-2.0400897332964999E-4</v>
      </c>
      <c r="P157" s="13" t="s">
        <v>11</v>
      </c>
    </row>
    <row r="158" spans="1:16" x14ac:dyDescent="0.25">
      <c r="A158" t="s">
        <v>71</v>
      </c>
      <c r="B158" t="s">
        <v>9</v>
      </c>
      <c r="C158" t="s">
        <v>32</v>
      </c>
      <c r="D158" t="s">
        <v>33</v>
      </c>
      <c r="E158" t="s">
        <v>80</v>
      </c>
      <c r="F158" s="9">
        <v>1</v>
      </c>
      <c r="G158" s="10">
        <v>-6.7882478479677305E-5</v>
      </c>
      <c r="H158" s="13" t="s">
        <v>11</v>
      </c>
      <c r="I158" s="13" t="s">
        <v>11</v>
      </c>
      <c r="J158" s="10">
        <v>-6.8087016748631494E-5</v>
      </c>
      <c r="K158" s="13" t="s">
        <v>11</v>
      </c>
      <c r="L158" s="13" t="s">
        <v>11</v>
      </c>
      <c r="M158" s="13" t="s">
        <v>11</v>
      </c>
      <c r="N158" s="13" t="s">
        <v>11</v>
      </c>
      <c r="O158" s="10">
        <v>-4.5794858373495102E-5</v>
      </c>
      <c r="P158" s="13" t="s">
        <v>11</v>
      </c>
    </row>
    <row r="159" spans="1:16" x14ac:dyDescent="0.25">
      <c r="A159" t="s">
        <v>71</v>
      </c>
      <c r="B159" t="s">
        <v>9</v>
      </c>
      <c r="C159" t="s">
        <v>34</v>
      </c>
      <c r="D159" t="s">
        <v>35</v>
      </c>
      <c r="E159" t="s">
        <v>80</v>
      </c>
      <c r="F159" s="9">
        <v>1</v>
      </c>
      <c r="G159" s="10">
        <v>-3.7043599864302799E-4</v>
      </c>
      <c r="H159" s="13" t="s">
        <v>11</v>
      </c>
      <c r="I159" s="13" t="s">
        <v>11</v>
      </c>
      <c r="J159" s="10">
        <v>-3.7043599864302799E-4</v>
      </c>
      <c r="K159" s="13" t="s">
        <v>11</v>
      </c>
      <c r="L159" s="13" t="s">
        <v>11</v>
      </c>
      <c r="M159" s="13" t="s">
        <v>11</v>
      </c>
      <c r="N159" s="13" t="s">
        <v>11</v>
      </c>
      <c r="O159" s="10">
        <v>-2.4915270053512301E-4</v>
      </c>
      <c r="P159" s="13" t="s">
        <v>11</v>
      </c>
    </row>
    <row r="160" spans="1:16" x14ac:dyDescent="0.25">
      <c r="A160" t="s">
        <v>71</v>
      </c>
      <c r="B160" t="s">
        <v>9</v>
      </c>
      <c r="C160" t="s">
        <v>36</v>
      </c>
      <c r="D160" t="s">
        <v>37</v>
      </c>
      <c r="E160" t="s">
        <v>80</v>
      </c>
      <c r="F160" s="9">
        <v>6</v>
      </c>
      <c r="G160" s="10">
        <v>0.69998918881370997</v>
      </c>
      <c r="H160" s="10">
        <v>0.423684891745845</v>
      </c>
      <c r="I160" s="10">
        <v>0.43745889404296801</v>
      </c>
      <c r="J160" s="10">
        <v>0.64332199218749997</v>
      </c>
      <c r="K160" s="10">
        <v>0.69291850995744997</v>
      </c>
      <c r="L160" s="10">
        <v>0.62526766770326303</v>
      </c>
      <c r="M160" s="10">
        <v>0.16556208904682301</v>
      </c>
      <c r="N160" s="10">
        <v>0.62526766770326303</v>
      </c>
      <c r="O160" s="10">
        <v>0.749725755006862</v>
      </c>
      <c r="P160" s="10">
        <v>0.76966923343984806</v>
      </c>
    </row>
    <row r="161" spans="1:16" x14ac:dyDescent="0.25">
      <c r="A161" t="s">
        <v>71</v>
      </c>
      <c r="B161" t="s">
        <v>9</v>
      </c>
      <c r="C161" t="s">
        <v>38</v>
      </c>
      <c r="D161" t="s">
        <v>39</v>
      </c>
      <c r="E161" t="s">
        <v>80</v>
      </c>
      <c r="F161" s="9">
        <v>35</v>
      </c>
      <c r="G161" s="10">
        <v>2.37560841624732E-3</v>
      </c>
      <c r="H161" s="10">
        <v>4.5119296518574097E-2</v>
      </c>
      <c r="I161" s="10">
        <v>3.7663815915584599E-4</v>
      </c>
      <c r="J161" s="10">
        <v>4.9806767702102695E-4</v>
      </c>
      <c r="K161" s="10">
        <v>6.5397521853447003E-4</v>
      </c>
      <c r="L161" s="10">
        <v>3.6833675480055401E-4</v>
      </c>
      <c r="M161" s="10">
        <v>6.6249932880113493E-2</v>
      </c>
      <c r="N161" s="10">
        <v>3.6833675480055401E-4</v>
      </c>
      <c r="O161" s="10">
        <v>5.6223752112656003E-4</v>
      </c>
      <c r="P161" s="10">
        <v>7.3875972958818399E-4</v>
      </c>
    </row>
    <row r="162" spans="1:16" x14ac:dyDescent="0.25">
      <c r="A162" t="s">
        <v>71</v>
      </c>
      <c r="B162" t="s">
        <v>9</v>
      </c>
      <c r="C162" t="s">
        <v>40</v>
      </c>
      <c r="D162" t="s">
        <v>41</v>
      </c>
      <c r="E162" t="s">
        <v>80</v>
      </c>
      <c r="F162" s="9">
        <v>36</v>
      </c>
      <c r="G162" s="10">
        <v>8.7018065934067093E-2</v>
      </c>
      <c r="H162" s="10">
        <v>0.154075122364811</v>
      </c>
      <c r="I162" s="10">
        <v>6.0996885299686998E-4</v>
      </c>
      <c r="J162" s="10">
        <v>4.9498849868774503E-3</v>
      </c>
      <c r="K162" s="10">
        <v>7.8941575121277002E-2</v>
      </c>
      <c r="L162" s="10">
        <v>5.9364171077888996E-4</v>
      </c>
      <c r="M162" s="10">
        <v>0.12440942775328501</v>
      </c>
      <c r="N162" s="10">
        <v>5.9364171077888996E-4</v>
      </c>
      <c r="O162" s="10">
        <v>5.6846174426946399E-3</v>
      </c>
      <c r="P162" s="10">
        <v>9.9516612044489403E-2</v>
      </c>
    </row>
    <row r="163" spans="1:16" x14ac:dyDescent="0.25">
      <c r="A163" t="s">
        <v>71</v>
      </c>
      <c r="B163" t="s">
        <v>9</v>
      </c>
      <c r="C163" t="s">
        <v>42</v>
      </c>
      <c r="D163" t="s">
        <v>43</v>
      </c>
      <c r="E163" t="s">
        <v>80</v>
      </c>
      <c r="F163" s="9">
        <v>30</v>
      </c>
      <c r="G163" s="10">
        <v>0.50002260694503797</v>
      </c>
      <c r="H163" s="10">
        <v>0.18576398726378701</v>
      </c>
      <c r="I163" s="10">
        <v>0.36206163930892898</v>
      </c>
      <c r="J163" s="10">
        <v>0.49877041149139401</v>
      </c>
      <c r="K163" s="10">
        <v>0.60022065401077296</v>
      </c>
      <c r="L163" s="10">
        <v>0.41842832471489599</v>
      </c>
      <c r="M163" s="10">
        <v>0.18035060140576301</v>
      </c>
      <c r="N163" s="10">
        <v>0.41842832471489599</v>
      </c>
      <c r="O163" s="10">
        <v>0.54283249127687205</v>
      </c>
      <c r="P163" s="10">
        <v>0.66588455250901701</v>
      </c>
    </row>
    <row r="164" spans="1:16" x14ac:dyDescent="0.25">
      <c r="A164" t="s">
        <v>71</v>
      </c>
      <c r="B164" t="s">
        <v>12</v>
      </c>
      <c r="C164" t="s">
        <v>44</v>
      </c>
      <c r="D164" t="s">
        <v>45</v>
      </c>
      <c r="E164" t="s">
        <v>80</v>
      </c>
      <c r="F164" s="9">
        <v>41</v>
      </c>
      <c r="G164" s="10">
        <v>0.184716744798508</v>
      </c>
      <c r="H164" s="10">
        <v>0.18130673177825399</v>
      </c>
      <c r="I164" s="10">
        <v>7.3549883088418297E-2</v>
      </c>
      <c r="J164" s="10">
        <v>0.162559211044916</v>
      </c>
      <c r="K164" s="10">
        <v>0.31541334117049502</v>
      </c>
      <c r="L164" s="10">
        <v>9.6681493151259207E-2</v>
      </c>
      <c r="M164" s="10">
        <v>0.17436156301098299</v>
      </c>
      <c r="N164" s="10">
        <v>9.6681493151259207E-2</v>
      </c>
      <c r="O164" s="10">
        <v>0.156676864089868</v>
      </c>
      <c r="P164" s="10">
        <v>0.312368351319814</v>
      </c>
    </row>
    <row r="165" spans="1:16" x14ac:dyDescent="0.25">
      <c r="A165" t="s">
        <v>71</v>
      </c>
      <c r="B165" t="s">
        <v>12</v>
      </c>
      <c r="C165" t="s">
        <v>46</v>
      </c>
      <c r="D165" t="s">
        <v>47</v>
      </c>
      <c r="E165" t="s">
        <v>80</v>
      </c>
      <c r="F165" s="9">
        <v>0</v>
      </c>
      <c r="G165" s="13" t="s">
        <v>11</v>
      </c>
      <c r="H165" s="13" t="s">
        <v>11</v>
      </c>
      <c r="I165" s="13" t="s">
        <v>11</v>
      </c>
      <c r="J165" s="13" t="s">
        <v>11</v>
      </c>
      <c r="K165" s="13" t="s">
        <v>11</v>
      </c>
      <c r="L165" s="13" t="s">
        <v>11</v>
      </c>
      <c r="M165" s="13" t="s">
        <v>11</v>
      </c>
      <c r="N165" s="13" t="s">
        <v>11</v>
      </c>
      <c r="O165" s="13" t="s">
        <v>11</v>
      </c>
      <c r="P165" s="13" t="s">
        <v>11</v>
      </c>
    </row>
    <row r="166" spans="1:16" x14ac:dyDescent="0.25">
      <c r="A166" t="s">
        <v>71</v>
      </c>
      <c r="B166" t="s">
        <v>12</v>
      </c>
      <c r="C166" t="s">
        <v>48</v>
      </c>
      <c r="D166" t="s">
        <v>49</v>
      </c>
      <c r="E166" t="s">
        <v>80</v>
      </c>
      <c r="F166" s="9">
        <v>30</v>
      </c>
      <c r="G166" s="10">
        <v>0.39436957363389702</v>
      </c>
      <c r="H166" s="10">
        <v>0.15263445549143601</v>
      </c>
      <c r="I166" s="10">
        <v>0.263400959379745</v>
      </c>
      <c r="J166" s="10">
        <v>0.34373867320318102</v>
      </c>
      <c r="K166" s="10">
        <v>0.54806913921585798</v>
      </c>
      <c r="L166" s="10">
        <v>0.27192626248666202</v>
      </c>
      <c r="M166" s="10">
        <v>0.148969165768746</v>
      </c>
      <c r="N166" s="10">
        <v>0.27192626248666202</v>
      </c>
      <c r="O166" s="10">
        <v>0.41321418532889898</v>
      </c>
      <c r="P166" s="10">
        <v>0.53459643320253203</v>
      </c>
    </row>
    <row r="167" spans="1:16" x14ac:dyDescent="0.25">
      <c r="A167" t="s">
        <v>71</v>
      </c>
      <c r="B167" t="s">
        <v>14</v>
      </c>
      <c r="C167" t="s">
        <v>50</v>
      </c>
      <c r="D167" t="s">
        <v>51</v>
      </c>
      <c r="E167" t="s">
        <v>80</v>
      </c>
      <c r="F167" s="9">
        <v>0</v>
      </c>
      <c r="G167" s="13" t="s">
        <v>11</v>
      </c>
      <c r="H167" s="13" t="s">
        <v>11</v>
      </c>
      <c r="I167" s="13" t="s">
        <v>11</v>
      </c>
      <c r="J167" s="13" t="s">
        <v>11</v>
      </c>
      <c r="K167" s="13" t="s">
        <v>11</v>
      </c>
      <c r="L167" s="13" t="s">
        <v>11</v>
      </c>
      <c r="M167" s="13" t="s">
        <v>11</v>
      </c>
      <c r="N167" s="13" t="s">
        <v>11</v>
      </c>
      <c r="O167" s="13" t="s">
        <v>11</v>
      </c>
      <c r="P167" s="13" t="s">
        <v>11</v>
      </c>
    </row>
    <row r="168" spans="1:16" x14ac:dyDescent="0.25">
      <c r="A168" t="s">
        <v>71</v>
      </c>
      <c r="B168" t="s">
        <v>14</v>
      </c>
      <c r="C168" t="s">
        <v>52</v>
      </c>
      <c r="D168" t="s">
        <v>53</v>
      </c>
      <c r="E168" t="s">
        <v>80</v>
      </c>
      <c r="F168" s="9">
        <v>30</v>
      </c>
      <c r="G168" s="10">
        <v>0.248230586262117</v>
      </c>
      <c r="H168" s="10">
        <v>0.113068614619466</v>
      </c>
      <c r="I168" s="10">
        <v>0.20168100937528599</v>
      </c>
      <c r="J168" s="10">
        <v>0.214956494373782</v>
      </c>
      <c r="K168" s="10">
        <v>0.23244500552491101</v>
      </c>
      <c r="L168" s="10">
        <v>0.22255176169167701</v>
      </c>
      <c r="M168" s="10">
        <v>6.9542586869568407E-2</v>
      </c>
      <c r="N168" s="10">
        <v>0.22255176169167701</v>
      </c>
      <c r="O168" s="10">
        <v>0.23323853429776401</v>
      </c>
      <c r="P168" s="10">
        <v>0.25044677481899202</v>
      </c>
    </row>
    <row r="169" spans="1:16" x14ac:dyDescent="0.25">
      <c r="A169" s="8" t="s">
        <v>71</v>
      </c>
      <c r="B169" s="8" t="s">
        <v>14</v>
      </c>
      <c r="C169" s="8" t="s">
        <v>54</v>
      </c>
      <c r="D169" s="8" t="s">
        <v>55</v>
      </c>
      <c r="E169" s="8" t="s">
        <v>80</v>
      </c>
      <c r="F169" s="11">
        <v>0</v>
      </c>
      <c r="G169" s="14" t="s">
        <v>11</v>
      </c>
      <c r="H169" s="14" t="s">
        <v>11</v>
      </c>
      <c r="I169" s="14" t="s">
        <v>11</v>
      </c>
      <c r="J169" s="14" t="s">
        <v>11</v>
      </c>
      <c r="K169" s="14" t="s">
        <v>11</v>
      </c>
      <c r="L169" s="14" t="s">
        <v>11</v>
      </c>
      <c r="M169" s="14" t="s">
        <v>11</v>
      </c>
      <c r="N169" s="14" t="s">
        <v>11</v>
      </c>
      <c r="O169" s="14" t="s">
        <v>11</v>
      </c>
      <c r="P169" s="14" t="s">
        <v>11</v>
      </c>
    </row>
    <row r="170" spans="1:16" x14ac:dyDescent="0.25">
      <c r="A170" t="s">
        <v>71</v>
      </c>
      <c r="B170" t="s">
        <v>68</v>
      </c>
      <c r="C170" t="s">
        <v>67</v>
      </c>
      <c r="D170" t="s">
        <v>8</v>
      </c>
      <c r="E170" t="s">
        <v>81</v>
      </c>
      <c r="F170" s="9">
        <v>115</v>
      </c>
      <c r="G170" s="10">
        <v>8.2074367747826091</v>
      </c>
      <c r="H170" s="10">
        <v>3.1980246925557698</v>
      </c>
      <c r="I170" s="10">
        <v>5.483613375</v>
      </c>
      <c r="J170" s="10">
        <v>8.8196002500000006</v>
      </c>
      <c r="K170" s="10">
        <v>10.3508209</v>
      </c>
      <c r="L170" s="10">
        <v>6.3230831957922602</v>
      </c>
      <c r="M170" s="10">
        <v>1.7860060123686501</v>
      </c>
      <c r="N170" s="10">
        <v>6.3230831957922602</v>
      </c>
      <c r="O170" s="10">
        <v>7.3248570225574197</v>
      </c>
      <c r="P170" s="10">
        <v>8.6387752630817598</v>
      </c>
    </row>
    <row r="171" spans="1:16" x14ac:dyDescent="0.25">
      <c r="A171" t="s">
        <v>71</v>
      </c>
      <c r="B171" t="s">
        <v>68</v>
      </c>
      <c r="C171" t="s">
        <v>9</v>
      </c>
      <c r="D171" t="s">
        <v>10</v>
      </c>
      <c r="E171" t="s">
        <v>81</v>
      </c>
      <c r="F171" s="9">
        <v>100</v>
      </c>
      <c r="G171" s="10">
        <v>6.2070185010000003</v>
      </c>
      <c r="H171" s="10">
        <v>1.28723306922031</v>
      </c>
      <c r="I171" s="10">
        <v>5.0283209500000003</v>
      </c>
      <c r="J171" s="10">
        <v>6.5333101249999999</v>
      </c>
      <c r="K171" s="10">
        <v>7.2542026374999997</v>
      </c>
      <c r="L171" s="10">
        <v>5.0273519647291298</v>
      </c>
      <c r="M171" s="10">
        <v>1.0903127197695901</v>
      </c>
      <c r="N171" s="10">
        <v>5.0273519647291298</v>
      </c>
      <c r="O171" s="10">
        <v>5.8405333682435998</v>
      </c>
      <c r="P171" s="10">
        <v>6.5830645084491604</v>
      </c>
    </row>
    <row r="172" spans="1:16" x14ac:dyDescent="0.25">
      <c r="A172" t="s">
        <v>71</v>
      </c>
      <c r="B172" t="s">
        <v>68</v>
      </c>
      <c r="C172" t="s">
        <v>12</v>
      </c>
      <c r="D172" t="s">
        <v>13</v>
      </c>
      <c r="E172" t="s">
        <v>81</v>
      </c>
      <c r="F172" s="9">
        <v>100</v>
      </c>
      <c r="G172" s="10">
        <v>2.0402692455104998</v>
      </c>
      <c r="H172" s="10">
        <v>0.64318842484343697</v>
      </c>
      <c r="I172" s="10">
        <v>1.5426862084874999</v>
      </c>
      <c r="J172" s="10">
        <v>2.0529223765000002</v>
      </c>
      <c r="K172" s="10">
        <v>2.34644684995</v>
      </c>
      <c r="L172" s="10">
        <v>1.5844589626726999</v>
      </c>
      <c r="M172" s="10">
        <v>0.48344465807756698</v>
      </c>
      <c r="N172" s="10">
        <v>1.5844589626726999</v>
      </c>
      <c r="O172" s="10">
        <v>1.89729309967774</v>
      </c>
      <c r="P172" s="10">
        <v>2.2285644694330702</v>
      </c>
    </row>
    <row r="173" spans="1:16" x14ac:dyDescent="0.25">
      <c r="A173" t="s">
        <v>71</v>
      </c>
      <c r="B173" t="s">
        <v>68</v>
      </c>
      <c r="C173" t="s">
        <v>14</v>
      </c>
      <c r="D173" t="s">
        <v>15</v>
      </c>
      <c r="E173" t="s">
        <v>81</v>
      </c>
      <c r="F173" s="9">
        <v>109</v>
      </c>
      <c r="G173" s="10">
        <v>3.0937428734802799</v>
      </c>
      <c r="H173" s="10">
        <v>1.2354696301918699</v>
      </c>
      <c r="I173" s="10">
        <v>2.2114266999500001</v>
      </c>
      <c r="J173" s="10">
        <v>3.4570818653000002</v>
      </c>
      <c r="K173" s="10">
        <v>3.8435468877000001</v>
      </c>
      <c r="L173" s="10">
        <v>2.07399725424759</v>
      </c>
      <c r="M173" s="10">
        <v>1.55987454933655</v>
      </c>
      <c r="N173" s="10">
        <v>2.07399725424759</v>
      </c>
      <c r="O173" s="10">
        <v>2.8206983577572702</v>
      </c>
      <c r="P173" s="10">
        <v>3.5057053033814198</v>
      </c>
    </row>
    <row r="174" spans="1:16" x14ac:dyDescent="0.25">
      <c r="A174" t="s">
        <v>71</v>
      </c>
      <c r="B174" t="s">
        <v>68</v>
      </c>
      <c r="C174" t="s">
        <v>16</v>
      </c>
      <c r="D174" t="s">
        <v>17</v>
      </c>
      <c r="E174" t="s">
        <v>81</v>
      </c>
      <c r="F174" s="9">
        <v>106</v>
      </c>
      <c r="G174" s="10">
        <v>1.11038752122642</v>
      </c>
      <c r="H174" s="10">
        <v>0.35774643490458302</v>
      </c>
      <c r="I174" s="10">
        <v>0.81355723749999997</v>
      </c>
      <c r="J174" s="10">
        <v>1.1925510749999999</v>
      </c>
      <c r="K174" s="10">
        <v>1.3626219125000001</v>
      </c>
      <c r="L174" s="10">
        <v>0.90464016772586897</v>
      </c>
      <c r="M174" s="10">
        <v>0.18353399099939499</v>
      </c>
      <c r="N174" s="10">
        <v>0.90464016772586897</v>
      </c>
      <c r="O174" s="10">
        <v>0.98168587742120506</v>
      </c>
      <c r="P174" s="10">
        <v>1.1212669287497301</v>
      </c>
    </row>
    <row r="175" spans="1:16" x14ac:dyDescent="0.25">
      <c r="A175" t="s">
        <v>71</v>
      </c>
      <c r="B175" t="s">
        <v>67</v>
      </c>
      <c r="C175" t="s">
        <v>18</v>
      </c>
      <c r="D175" t="s">
        <v>19</v>
      </c>
      <c r="E175" t="s">
        <v>81</v>
      </c>
      <c r="F175" s="9">
        <v>115</v>
      </c>
      <c r="G175" s="10">
        <v>3.8072780982071999</v>
      </c>
      <c r="H175" s="10">
        <v>1.9658842454788199</v>
      </c>
      <c r="I175" s="10">
        <v>2.2903929551494802</v>
      </c>
      <c r="J175" s="10">
        <v>3.7736130150026699</v>
      </c>
      <c r="K175" s="10">
        <v>5.12265278628493</v>
      </c>
      <c r="L175" s="10">
        <v>1.8714312601365599</v>
      </c>
      <c r="M175" s="10">
        <v>1.9115016949241399</v>
      </c>
      <c r="N175" s="10">
        <v>1.8714312601365599</v>
      </c>
      <c r="O175" s="10">
        <v>4.00628331922917</v>
      </c>
      <c r="P175" s="10">
        <v>5.1390821003929199</v>
      </c>
    </row>
    <row r="176" spans="1:16" x14ac:dyDescent="0.25">
      <c r="A176" t="s">
        <v>71</v>
      </c>
      <c r="B176" t="s">
        <v>67</v>
      </c>
      <c r="C176" t="s">
        <v>20</v>
      </c>
      <c r="D176" t="s">
        <v>21</v>
      </c>
      <c r="E176" t="s">
        <v>81</v>
      </c>
      <c r="F176" s="9">
        <v>115</v>
      </c>
      <c r="G176" s="10">
        <v>4.4999543930774202</v>
      </c>
      <c r="H176" s="10">
        <v>1.98992874790004</v>
      </c>
      <c r="I176" s="10">
        <v>3.1710343702966002</v>
      </c>
      <c r="J176" s="10">
        <v>4.2292536157535903</v>
      </c>
      <c r="K176" s="10">
        <v>5.42741793346317</v>
      </c>
      <c r="L176" s="10">
        <v>3.34718661479139</v>
      </c>
      <c r="M176" s="10">
        <v>1.40977562501639</v>
      </c>
      <c r="N176" s="10">
        <v>3.34718661479139</v>
      </c>
      <c r="O176" s="10">
        <v>3.8672354486812299</v>
      </c>
      <c r="P176" s="10">
        <v>4.7325336070364603</v>
      </c>
    </row>
    <row r="177" spans="1:16" x14ac:dyDescent="0.25">
      <c r="A177" t="s">
        <v>71</v>
      </c>
      <c r="B177" t="s">
        <v>67</v>
      </c>
      <c r="C177" t="s">
        <v>22</v>
      </c>
      <c r="D177" t="s">
        <v>23</v>
      </c>
      <c r="E177" t="s">
        <v>81</v>
      </c>
      <c r="F177" s="9">
        <v>115</v>
      </c>
      <c r="G177" s="10">
        <v>0.271586952930161</v>
      </c>
      <c r="H177" s="10">
        <v>0.59141038399314305</v>
      </c>
      <c r="I177" s="10">
        <v>-3.3055414469617801E-2</v>
      </c>
      <c r="J177" s="10">
        <v>5.9449013784174998E-2</v>
      </c>
      <c r="K177" s="10">
        <v>0.35929499803072101</v>
      </c>
      <c r="L177" s="10">
        <v>-2.6757461613416501E-2</v>
      </c>
      <c r="M177" s="10">
        <v>0.51247829191624505</v>
      </c>
      <c r="N177" s="10">
        <v>-2.6757461613416501E-2</v>
      </c>
      <c r="O177" s="10">
        <v>7.84425889942129E-2</v>
      </c>
      <c r="P177" s="10">
        <v>0.35285328894632401</v>
      </c>
    </row>
    <row r="178" spans="1:16" x14ac:dyDescent="0.25">
      <c r="A178" t="s">
        <v>71</v>
      </c>
      <c r="B178" t="s">
        <v>67</v>
      </c>
      <c r="C178" t="s">
        <v>24</v>
      </c>
      <c r="D178" t="s">
        <v>25</v>
      </c>
      <c r="E178" t="s">
        <v>81</v>
      </c>
      <c r="F178" s="9">
        <v>115</v>
      </c>
      <c r="G178" s="10">
        <v>0.58214704728475597</v>
      </c>
      <c r="H178" s="10">
        <v>0.719614237997384</v>
      </c>
      <c r="I178" s="10">
        <v>0.149538386195984</v>
      </c>
      <c r="J178" s="10">
        <v>0.35965845234724603</v>
      </c>
      <c r="K178" s="10">
        <v>0.72022076661814605</v>
      </c>
      <c r="L178" s="10">
        <v>0.14541790059927001</v>
      </c>
      <c r="M178" s="10">
        <v>0.71369285892079803</v>
      </c>
      <c r="N178" s="10">
        <v>0.14541790059927001</v>
      </c>
      <c r="O178" s="10">
        <v>0.39548280645675099</v>
      </c>
      <c r="P178" s="10">
        <v>0.65752010497073299</v>
      </c>
    </row>
    <row r="179" spans="1:16" x14ac:dyDescent="0.25">
      <c r="A179" t="s">
        <v>71</v>
      </c>
      <c r="B179" t="s">
        <v>67</v>
      </c>
      <c r="C179" t="s">
        <v>26</v>
      </c>
      <c r="D179" t="s">
        <v>27</v>
      </c>
      <c r="E179" t="s">
        <v>81</v>
      </c>
      <c r="F179" s="9">
        <v>115</v>
      </c>
      <c r="G179" s="10">
        <v>3.7410615752909299E-2</v>
      </c>
      <c r="H179" s="10">
        <v>0.24053685994270799</v>
      </c>
      <c r="I179" s="10">
        <v>2.1697697130075898E-3</v>
      </c>
      <c r="J179" s="10">
        <v>4.2296726837413E-2</v>
      </c>
      <c r="K179" s="10">
        <v>8.2088964496109404E-2</v>
      </c>
      <c r="L179" s="10">
        <v>1.63834462296432E-3</v>
      </c>
      <c r="M179" s="10">
        <v>0.25424782029205001</v>
      </c>
      <c r="N179" s="10">
        <v>1.63834462296432E-3</v>
      </c>
      <c r="O179" s="10">
        <v>4.6635160007825603E-2</v>
      </c>
      <c r="P179" s="10">
        <v>8.3657308661940294E-2</v>
      </c>
    </row>
    <row r="180" spans="1:16" x14ac:dyDescent="0.25">
      <c r="A180" t="s">
        <v>71</v>
      </c>
      <c r="B180" t="s">
        <v>67</v>
      </c>
      <c r="C180" t="s">
        <v>28</v>
      </c>
      <c r="D180" t="s">
        <v>29</v>
      </c>
      <c r="E180" t="s">
        <v>81</v>
      </c>
      <c r="F180" s="9">
        <v>115</v>
      </c>
      <c r="G180" s="10">
        <v>-1.31916576172016E-2</v>
      </c>
      <c r="H180" s="10">
        <v>0.23955695224419199</v>
      </c>
      <c r="I180" s="10">
        <v>-3.5382340515420401E-3</v>
      </c>
      <c r="J180" s="10">
        <v>-1.94318137654969E-5</v>
      </c>
      <c r="K180" s="10">
        <v>3.9484095486952203E-3</v>
      </c>
      <c r="L180" s="10">
        <v>-3.3132969439050599E-3</v>
      </c>
      <c r="M180" s="10">
        <v>0.29417440940806799</v>
      </c>
      <c r="N180" s="10">
        <v>-3.3132969439050599E-3</v>
      </c>
      <c r="O180" s="10">
        <v>-1.5836420457198201E-5</v>
      </c>
      <c r="P180" s="10">
        <v>2.7724359790542701E-3</v>
      </c>
    </row>
    <row r="181" spans="1:16" x14ac:dyDescent="0.25">
      <c r="A181" t="s">
        <v>71</v>
      </c>
      <c r="B181" t="s">
        <v>9</v>
      </c>
      <c r="C181" t="s">
        <v>30</v>
      </c>
      <c r="D181" t="s">
        <v>31</v>
      </c>
      <c r="E181" t="s">
        <v>81</v>
      </c>
      <c r="F181" s="9">
        <v>100</v>
      </c>
      <c r="G181" s="10">
        <v>0.70981942812482501</v>
      </c>
      <c r="H181" s="10">
        <v>0.64017521693295798</v>
      </c>
      <c r="I181" s="10">
        <v>0.30474208978273698</v>
      </c>
      <c r="J181" s="10">
        <v>0.64214277467499603</v>
      </c>
      <c r="K181" s="10">
        <v>0.88333590206146495</v>
      </c>
      <c r="L181" s="10">
        <v>0.41494498000854502</v>
      </c>
      <c r="M181" s="10">
        <v>0.70601905528695397</v>
      </c>
      <c r="N181" s="10">
        <v>0.41494498000854502</v>
      </c>
      <c r="O181" s="10">
        <v>0.60310551371364995</v>
      </c>
      <c r="P181" s="10">
        <v>0.88723252710895495</v>
      </c>
    </row>
    <row r="182" spans="1:16" x14ac:dyDescent="0.25">
      <c r="A182" t="s">
        <v>71</v>
      </c>
      <c r="B182" t="s">
        <v>9</v>
      </c>
      <c r="C182" t="s">
        <v>32</v>
      </c>
      <c r="D182" t="s">
        <v>33</v>
      </c>
      <c r="E182" t="s">
        <v>81</v>
      </c>
      <c r="F182" s="9">
        <v>100</v>
      </c>
      <c r="G182" s="10">
        <v>0.30335500474856503</v>
      </c>
      <c r="H182" s="10">
        <v>0.30132534200130101</v>
      </c>
      <c r="I182" s="10">
        <v>0.109226078487973</v>
      </c>
      <c r="J182" s="10">
        <v>0.308137364942276</v>
      </c>
      <c r="K182" s="10">
        <v>0.45364453132305799</v>
      </c>
      <c r="L182" s="10">
        <v>9.4545655640676102E-2</v>
      </c>
      <c r="M182" s="10">
        <v>0.25327689808776799</v>
      </c>
      <c r="N182" s="10">
        <v>9.4545655640676102E-2</v>
      </c>
      <c r="O182" s="10">
        <v>0.301387284320973</v>
      </c>
      <c r="P182" s="10">
        <v>0.45135810300045298</v>
      </c>
    </row>
    <row r="183" spans="1:16" x14ac:dyDescent="0.25">
      <c r="A183" t="s">
        <v>71</v>
      </c>
      <c r="B183" t="s">
        <v>9</v>
      </c>
      <c r="C183" t="s">
        <v>34</v>
      </c>
      <c r="D183" t="s">
        <v>35</v>
      </c>
      <c r="E183" t="s">
        <v>81</v>
      </c>
      <c r="F183" s="9">
        <v>100</v>
      </c>
      <c r="G183" s="10">
        <v>1.01302731180431</v>
      </c>
      <c r="H183" s="10">
        <v>0.740088162272032</v>
      </c>
      <c r="I183" s="10">
        <v>0.48701440748131902</v>
      </c>
      <c r="J183" s="10">
        <v>1.01058230994224</v>
      </c>
      <c r="K183" s="10">
        <v>1.2725168279715799</v>
      </c>
      <c r="L183" s="10">
        <v>0.73582945556240198</v>
      </c>
      <c r="M183" s="10">
        <v>0.76257202530684998</v>
      </c>
      <c r="N183" s="10">
        <v>0.73582945556240198</v>
      </c>
      <c r="O183" s="10">
        <v>0.93077850695506503</v>
      </c>
      <c r="P183" s="10">
        <v>1.2108225099318699</v>
      </c>
    </row>
    <row r="184" spans="1:16" x14ac:dyDescent="0.25">
      <c r="A184" t="s">
        <v>71</v>
      </c>
      <c r="B184" t="s">
        <v>9</v>
      </c>
      <c r="C184" t="s">
        <v>36</v>
      </c>
      <c r="D184" t="s">
        <v>37</v>
      </c>
      <c r="E184" t="s">
        <v>81</v>
      </c>
      <c r="F184" s="9">
        <v>105</v>
      </c>
      <c r="G184" s="10">
        <v>1.02712415714286</v>
      </c>
      <c r="H184" s="10">
        <v>0.27153391412419797</v>
      </c>
      <c r="I184" s="10">
        <v>0.93335849999999998</v>
      </c>
      <c r="J184" s="10">
        <v>1.095939</v>
      </c>
      <c r="K184" s="10">
        <v>1.2175935</v>
      </c>
      <c r="L184" s="10">
        <v>0.86718838222776895</v>
      </c>
      <c r="M184" s="10">
        <v>0.11492907180789699</v>
      </c>
      <c r="N184" s="10">
        <v>0.86718838222776895</v>
      </c>
      <c r="O184" s="10">
        <v>0.95815461145810499</v>
      </c>
      <c r="P184" s="10">
        <v>1.0117753032524099</v>
      </c>
    </row>
    <row r="185" spans="1:16" x14ac:dyDescent="0.25">
      <c r="A185" t="s">
        <v>71</v>
      </c>
      <c r="B185" t="s">
        <v>9</v>
      </c>
      <c r="C185" t="s">
        <v>38</v>
      </c>
      <c r="D185" t="s">
        <v>39</v>
      </c>
      <c r="E185" t="s">
        <v>81</v>
      </c>
      <c r="F185" s="9">
        <v>105</v>
      </c>
      <c r="G185" s="10">
        <v>0.34953522095238099</v>
      </c>
      <c r="H185" s="10">
        <v>0.19488878341108501</v>
      </c>
      <c r="I185" s="10">
        <v>0.2229681</v>
      </c>
      <c r="J185" s="10">
        <v>0.35843979999999998</v>
      </c>
      <c r="K185" s="10">
        <v>0.46561059999999999</v>
      </c>
      <c r="L185" s="10">
        <v>0.22272970255687299</v>
      </c>
      <c r="M185" s="10">
        <v>0.18070438305133399</v>
      </c>
      <c r="N185" s="10">
        <v>0.22272970255687299</v>
      </c>
      <c r="O185" s="10">
        <v>0.32374265460450202</v>
      </c>
      <c r="P185" s="10">
        <v>0.40729770016123101</v>
      </c>
    </row>
    <row r="186" spans="1:16" x14ac:dyDescent="0.25">
      <c r="A186" t="s">
        <v>71</v>
      </c>
      <c r="B186" t="s">
        <v>9</v>
      </c>
      <c r="C186" t="s">
        <v>40</v>
      </c>
      <c r="D186" t="s">
        <v>41</v>
      </c>
      <c r="E186" t="s">
        <v>81</v>
      </c>
      <c r="F186" s="9">
        <v>103</v>
      </c>
      <c r="G186" s="10">
        <v>0.731830756067961</v>
      </c>
      <c r="H186" s="10">
        <v>0.19062407193474001</v>
      </c>
      <c r="I186" s="10">
        <v>0.68321668999999996</v>
      </c>
      <c r="J186" s="10">
        <v>0.68321668999999996</v>
      </c>
      <c r="K186" s="10">
        <v>0.69396977000000004</v>
      </c>
      <c r="L186" s="10">
        <v>0.53439625994795203</v>
      </c>
      <c r="M186" s="10">
        <v>0.283565360008805</v>
      </c>
      <c r="N186" s="10">
        <v>0.53439625994795203</v>
      </c>
      <c r="O186" s="10">
        <v>0.65783990475576004</v>
      </c>
      <c r="P186" s="10">
        <v>0.84739401582010099</v>
      </c>
    </row>
    <row r="187" spans="1:16" x14ac:dyDescent="0.25">
      <c r="A187" t="s">
        <v>71</v>
      </c>
      <c r="B187" t="s">
        <v>9</v>
      </c>
      <c r="C187" t="s">
        <v>42</v>
      </c>
      <c r="D187" t="s">
        <v>43</v>
      </c>
      <c r="E187" t="s">
        <v>81</v>
      </c>
      <c r="F187" s="9">
        <v>74</v>
      </c>
      <c r="G187" s="10">
        <v>0.108923535135135</v>
      </c>
      <c r="H187" s="10">
        <v>0.245833821963411</v>
      </c>
      <c r="I187" s="10">
        <v>0</v>
      </c>
      <c r="J187" s="10">
        <v>5.6589250000000004E-3</v>
      </c>
      <c r="K187" s="10">
        <v>8.7020399999999998E-2</v>
      </c>
      <c r="L187" s="10">
        <v>0</v>
      </c>
      <c r="M187" s="10">
        <v>0.215128960513333</v>
      </c>
      <c r="N187" s="10">
        <v>0</v>
      </c>
      <c r="O187" s="10">
        <v>6.3939168284311296E-3</v>
      </c>
      <c r="P187" s="10">
        <v>0.124348235669486</v>
      </c>
    </row>
    <row r="188" spans="1:16" x14ac:dyDescent="0.25">
      <c r="A188" t="s">
        <v>71</v>
      </c>
      <c r="B188" t="s">
        <v>12</v>
      </c>
      <c r="C188" t="s">
        <v>44</v>
      </c>
      <c r="D188" t="s">
        <v>45</v>
      </c>
      <c r="E188" t="s">
        <v>81</v>
      </c>
      <c r="F188" s="9">
        <v>115</v>
      </c>
      <c r="G188" s="10">
        <v>0.810954059273996</v>
      </c>
      <c r="H188" s="10">
        <v>0.54045254618113503</v>
      </c>
      <c r="I188" s="10">
        <v>0.49755087858305402</v>
      </c>
      <c r="J188" s="10">
        <v>0.73729438696428695</v>
      </c>
      <c r="K188" s="10">
        <v>0.94105859077078502</v>
      </c>
      <c r="L188" s="10">
        <v>0.52005110517031705</v>
      </c>
      <c r="M188" s="10">
        <v>0.46221351155392298</v>
      </c>
      <c r="N188" s="10">
        <v>0.52005110517031705</v>
      </c>
      <c r="O188" s="10">
        <v>0.66642689401291</v>
      </c>
      <c r="P188" s="10">
        <v>0.80351607379834</v>
      </c>
    </row>
    <row r="189" spans="1:16" x14ac:dyDescent="0.25">
      <c r="A189" t="s">
        <v>71</v>
      </c>
      <c r="B189" t="s">
        <v>12</v>
      </c>
      <c r="C189" t="s">
        <v>46</v>
      </c>
      <c r="D189" t="s">
        <v>47</v>
      </c>
      <c r="E189" t="s">
        <v>81</v>
      </c>
      <c r="F189" s="9">
        <v>11</v>
      </c>
      <c r="G189" s="10">
        <v>0.86424473636363597</v>
      </c>
      <c r="H189" s="10">
        <v>0.133278435214507</v>
      </c>
      <c r="I189" s="10">
        <v>0.78128797500000002</v>
      </c>
      <c r="J189" s="10">
        <v>0.88594815000000005</v>
      </c>
      <c r="K189" s="10">
        <v>0.96266732499999996</v>
      </c>
      <c r="L189" s="10">
        <v>0.70711552457233295</v>
      </c>
      <c r="M189" s="10">
        <v>0.248927048277958</v>
      </c>
      <c r="N189" s="10">
        <v>0.70711552457233295</v>
      </c>
      <c r="O189" s="10">
        <v>0.81475690095310505</v>
      </c>
      <c r="P189" s="10">
        <v>1.0130591371504201</v>
      </c>
    </row>
    <row r="190" spans="1:16" x14ac:dyDescent="0.25">
      <c r="A190" t="s">
        <v>71</v>
      </c>
      <c r="B190" t="s">
        <v>12</v>
      </c>
      <c r="C190" t="s">
        <v>48</v>
      </c>
      <c r="D190" t="s">
        <v>49</v>
      </c>
      <c r="E190" t="s">
        <v>81</v>
      </c>
      <c r="F190" s="9">
        <v>82</v>
      </c>
      <c r="G190" s="10">
        <v>0.28251572637829198</v>
      </c>
      <c r="H190" s="10">
        <v>0.228459794938</v>
      </c>
      <c r="I190" s="10">
        <v>6.8263871835858803E-2</v>
      </c>
      <c r="J190" s="10">
        <v>0.31502154776004199</v>
      </c>
      <c r="K190" s="10">
        <v>0.41311914277498801</v>
      </c>
      <c r="L190" s="10">
        <v>9.6694471245766203E-2</v>
      </c>
      <c r="M190" s="10">
        <v>0.179112814937815</v>
      </c>
      <c r="N190" s="10">
        <v>9.6694471245766203E-2</v>
      </c>
      <c r="O190" s="10">
        <v>0.30589552142596699</v>
      </c>
      <c r="P190" s="10">
        <v>0.415652454858425</v>
      </c>
    </row>
    <row r="191" spans="1:16" x14ac:dyDescent="0.25">
      <c r="A191" t="s">
        <v>71</v>
      </c>
      <c r="B191" t="s">
        <v>14</v>
      </c>
      <c r="C191" t="s">
        <v>50</v>
      </c>
      <c r="D191" t="s">
        <v>51</v>
      </c>
      <c r="E191" t="s">
        <v>81</v>
      </c>
      <c r="F191" s="9">
        <v>70</v>
      </c>
      <c r="G191" s="10">
        <v>0.92243070928571402</v>
      </c>
      <c r="H191" s="10">
        <v>1.1990959775282</v>
      </c>
      <c r="I191" s="10">
        <v>1.40682625E-2</v>
      </c>
      <c r="J191" s="10">
        <v>0.23549824999999999</v>
      </c>
      <c r="K191" s="10">
        <v>1.8793396</v>
      </c>
      <c r="L191" s="10">
        <v>1.75915426998993E-2</v>
      </c>
      <c r="M191" s="10">
        <v>0.91324273880156304</v>
      </c>
      <c r="N191" s="10">
        <v>1.75915426998993E-2</v>
      </c>
      <c r="O191" s="10">
        <v>0.29740645355677497</v>
      </c>
      <c r="P191" s="10">
        <v>1.7133389701839199</v>
      </c>
    </row>
    <row r="192" spans="1:16" x14ac:dyDescent="0.25">
      <c r="A192" t="s">
        <v>71</v>
      </c>
      <c r="B192" t="s">
        <v>14</v>
      </c>
      <c r="C192" t="s">
        <v>52</v>
      </c>
      <c r="D192" t="s">
        <v>53</v>
      </c>
      <c r="E192" t="s">
        <v>81</v>
      </c>
      <c r="F192" s="9">
        <v>73</v>
      </c>
      <c r="G192" s="10">
        <v>0.106112572428803</v>
      </c>
      <c r="H192" s="10">
        <v>0.596154022706187</v>
      </c>
      <c r="I192" s="10">
        <v>0</v>
      </c>
      <c r="J192" s="10">
        <v>4.8385259494063297E-2</v>
      </c>
      <c r="K192" s="10">
        <v>6.1120551908698799E-2</v>
      </c>
      <c r="L192" s="10">
        <v>0</v>
      </c>
      <c r="M192" s="10">
        <v>0.62760176630994102</v>
      </c>
      <c r="N192" s="10">
        <v>0</v>
      </c>
      <c r="O192" s="10">
        <v>4.76234391021986E-2</v>
      </c>
      <c r="P192" s="10">
        <v>5.7259390416657903E-2</v>
      </c>
    </row>
    <row r="193" spans="1:16" x14ac:dyDescent="0.25">
      <c r="A193" s="8" t="s">
        <v>71</v>
      </c>
      <c r="B193" s="8" t="s">
        <v>14</v>
      </c>
      <c r="C193" s="8" t="s">
        <v>54</v>
      </c>
      <c r="D193" s="8" t="s">
        <v>55</v>
      </c>
      <c r="E193" s="8" t="s">
        <v>81</v>
      </c>
      <c r="F193" s="11">
        <v>74</v>
      </c>
      <c r="G193" s="12">
        <v>3.9387729054054098E-2</v>
      </c>
      <c r="H193" s="12">
        <v>0.237999770032471</v>
      </c>
      <c r="I193" s="12">
        <v>0</v>
      </c>
      <c r="J193" s="12">
        <v>0</v>
      </c>
      <c r="K193" s="12">
        <v>0</v>
      </c>
      <c r="L193" s="12">
        <v>0</v>
      </c>
      <c r="M193" s="12">
        <v>0.19343694843427001</v>
      </c>
      <c r="N193" s="12">
        <v>0</v>
      </c>
      <c r="O193" s="12">
        <v>0</v>
      </c>
      <c r="P193" s="12">
        <v>0</v>
      </c>
    </row>
    <row r="194" spans="1:16" x14ac:dyDescent="0.25">
      <c r="A194" t="s">
        <v>71</v>
      </c>
      <c r="B194" t="s">
        <v>68</v>
      </c>
      <c r="C194" t="s">
        <v>67</v>
      </c>
      <c r="D194" t="s">
        <v>8</v>
      </c>
      <c r="E194" t="s">
        <v>82</v>
      </c>
      <c r="F194" s="9">
        <v>6</v>
      </c>
      <c r="G194" s="10">
        <v>7.08283830127227</v>
      </c>
      <c r="H194" s="10">
        <v>0.27211079377055902</v>
      </c>
      <c r="I194" s="10">
        <v>6.8827471116556298</v>
      </c>
      <c r="J194" s="10">
        <v>7.0508772220179399</v>
      </c>
      <c r="K194" s="10">
        <v>7.2708232601162699</v>
      </c>
      <c r="L194" s="10">
        <v>5.8406414659495303</v>
      </c>
      <c r="M194" s="10">
        <v>9.3479103960776397E-2</v>
      </c>
      <c r="N194" s="10">
        <v>5.8406414659495303</v>
      </c>
      <c r="O194" s="10">
        <v>5.9322399299294704</v>
      </c>
      <c r="P194" s="10">
        <v>5.9511741172391801</v>
      </c>
    </row>
    <row r="195" spans="1:16" x14ac:dyDescent="0.25">
      <c r="A195" t="s">
        <v>71</v>
      </c>
      <c r="B195" t="s">
        <v>68</v>
      </c>
      <c r="C195" t="s">
        <v>9</v>
      </c>
      <c r="D195" t="s">
        <v>10</v>
      </c>
      <c r="E195" t="s">
        <v>82</v>
      </c>
      <c r="F195" s="9">
        <v>0</v>
      </c>
      <c r="G195" s="13" t="s">
        <v>11</v>
      </c>
      <c r="H195" s="13" t="s">
        <v>11</v>
      </c>
      <c r="I195" s="13" t="s">
        <v>11</v>
      </c>
      <c r="J195" s="13" t="s">
        <v>11</v>
      </c>
      <c r="K195" s="13" t="s">
        <v>11</v>
      </c>
      <c r="L195" s="13" t="s">
        <v>11</v>
      </c>
      <c r="M195" s="13" t="s">
        <v>11</v>
      </c>
      <c r="N195" s="13" t="s">
        <v>11</v>
      </c>
      <c r="O195" s="13" t="s">
        <v>11</v>
      </c>
      <c r="P195" s="13" t="s">
        <v>11</v>
      </c>
    </row>
    <row r="196" spans="1:16" x14ac:dyDescent="0.25">
      <c r="A196" t="s">
        <v>71</v>
      </c>
      <c r="B196" t="s">
        <v>68</v>
      </c>
      <c r="C196" t="s">
        <v>12</v>
      </c>
      <c r="D196" t="s">
        <v>13</v>
      </c>
      <c r="E196" t="s">
        <v>82</v>
      </c>
      <c r="F196" s="9">
        <v>0</v>
      </c>
      <c r="G196" s="13" t="s">
        <v>11</v>
      </c>
      <c r="H196" s="13" t="s">
        <v>11</v>
      </c>
      <c r="I196" s="13" t="s">
        <v>11</v>
      </c>
      <c r="J196" s="13" t="s">
        <v>11</v>
      </c>
      <c r="K196" s="13" t="s">
        <v>11</v>
      </c>
      <c r="L196" s="13" t="s">
        <v>11</v>
      </c>
      <c r="M196" s="13" t="s">
        <v>11</v>
      </c>
      <c r="N196" s="13" t="s">
        <v>11</v>
      </c>
      <c r="O196" s="13" t="s">
        <v>11</v>
      </c>
      <c r="P196" s="13" t="s">
        <v>11</v>
      </c>
    </row>
    <row r="197" spans="1:16" x14ac:dyDescent="0.25">
      <c r="A197" t="s">
        <v>71</v>
      </c>
      <c r="B197" t="s">
        <v>68</v>
      </c>
      <c r="C197" t="s">
        <v>14</v>
      </c>
      <c r="D197" t="s">
        <v>15</v>
      </c>
      <c r="E197" t="s">
        <v>82</v>
      </c>
      <c r="F197" s="9">
        <v>0</v>
      </c>
      <c r="G197" s="13" t="s">
        <v>11</v>
      </c>
      <c r="H197" s="13" t="s">
        <v>11</v>
      </c>
      <c r="I197" s="13" t="s">
        <v>11</v>
      </c>
      <c r="J197" s="13" t="s">
        <v>11</v>
      </c>
      <c r="K197" s="13" t="s">
        <v>11</v>
      </c>
      <c r="L197" s="13" t="s">
        <v>11</v>
      </c>
      <c r="M197" s="13" t="s">
        <v>11</v>
      </c>
      <c r="N197" s="13" t="s">
        <v>11</v>
      </c>
      <c r="O197" s="13" t="s">
        <v>11</v>
      </c>
      <c r="P197" s="13" t="s">
        <v>11</v>
      </c>
    </row>
    <row r="198" spans="1:16" x14ac:dyDescent="0.25">
      <c r="A198" t="s">
        <v>71</v>
      </c>
      <c r="B198" t="s">
        <v>68</v>
      </c>
      <c r="C198" t="s">
        <v>16</v>
      </c>
      <c r="D198" t="s">
        <v>17</v>
      </c>
      <c r="E198" t="s">
        <v>82</v>
      </c>
      <c r="F198" s="9">
        <v>6</v>
      </c>
      <c r="G198" s="10">
        <v>0.960889962274184</v>
      </c>
      <c r="H198" s="10">
        <v>0.12494213072002799</v>
      </c>
      <c r="I198" s="10">
        <v>0.876459842724299</v>
      </c>
      <c r="J198" s="10">
        <v>0.94583893814763198</v>
      </c>
      <c r="K198" s="10">
        <v>1.0260745267796501</v>
      </c>
      <c r="L198" s="10">
        <v>0.74876200842517404</v>
      </c>
      <c r="M198" s="10">
        <v>8.67467748847493E-2</v>
      </c>
      <c r="N198" s="10">
        <v>0.74876200842517404</v>
      </c>
      <c r="O198" s="10">
        <v>0.80380034896708796</v>
      </c>
      <c r="P198" s="10">
        <v>0.83152000055865605</v>
      </c>
    </row>
    <row r="199" spans="1:16" x14ac:dyDescent="0.25">
      <c r="A199" t="s">
        <v>71</v>
      </c>
      <c r="B199" t="s">
        <v>67</v>
      </c>
      <c r="C199" t="s">
        <v>18</v>
      </c>
      <c r="D199" t="s">
        <v>19</v>
      </c>
      <c r="E199" t="s">
        <v>82</v>
      </c>
      <c r="F199" s="9">
        <v>6</v>
      </c>
      <c r="G199" s="10">
        <v>2.2842334670950502</v>
      </c>
      <c r="H199" s="10">
        <v>0.175848099949272</v>
      </c>
      <c r="I199" s="10">
        <v>2.1505864341223901</v>
      </c>
      <c r="J199" s="10">
        <v>2.2485325513405101</v>
      </c>
      <c r="K199" s="10">
        <v>2.3789405232465</v>
      </c>
      <c r="L199" s="10">
        <v>1.7945771635621599</v>
      </c>
      <c r="M199" s="10">
        <v>0.14763826317992801</v>
      </c>
      <c r="N199" s="10">
        <v>1.7945771635621599</v>
      </c>
      <c r="O199" s="10">
        <v>1.8767407977642501</v>
      </c>
      <c r="P199" s="10">
        <v>1.9698880031496599</v>
      </c>
    </row>
    <row r="200" spans="1:16" x14ac:dyDescent="0.25">
      <c r="A200" t="s">
        <v>71</v>
      </c>
      <c r="B200" t="s">
        <v>67</v>
      </c>
      <c r="C200" t="s">
        <v>20</v>
      </c>
      <c r="D200" t="s">
        <v>21</v>
      </c>
      <c r="E200" t="s">
        <v>82</v>
      </c>
      <c r="F200" s="9">
        <v>6</v>
      </c>
      <c r="G200" s="10">
        <v>0.366766651539987</v>
      </c>
      <c r="H200" s="10">
        <v>9.2422538932579706E-2</v>
      </c>
      <c r="I200" s="10">
        <v>0.30566844871903098</v>
      </c>
      <c r="J200" s="10">
        <v>0.358390588316647</v>
      </c>
      <c r="K200" s="10">
        <v>0.43795368415605201</v>
      </c>
      <c r="L200" s="10">
        <v>0.26129356555014199</v>
      </c>
      <c r="M200" s="10">
        <v>7.5216998348258401E-2</v>
      </c>
      <c r="N200" s="10">
        <v>0.26129356555014199</v>
      </c>
      <c r="O200" s="10">
        <v>0.29577188995151099</v>
      </c>
      <c r="P200" s="10">
        <v>0.37082648428224302</v>
      </c>
    </row>
    <row r="201" spans="1:16" x14ac:dyDescent="0.25">
      <c r="A201" t="s">
        <v>71</v>
      </c>
      <c r="B201" t="s">
        <v>67</v>
      </c>
      <c r="C201" t="s">
        <v>22</v>
      </c>
      <c r="D201" t="s">
        <v>23</v>
      </c>
      <c r="E201" t="s">
        <v>82</v>
      </c>
      <c r="F201" s="9">
        <v>6</v>
      </c>
      <c r="G201" s="10">
        <v>0.42945755172773697</v>
      </c>
      <c r="H201" s="10">
        <v>5.8829104782233001E-2</v>
      </c>
      <c r="I201" s="10">
        <v>0.37563247415467999</v>
      </c>
      <c r="J201" s="10">
        <v>0.42599659216328001</v>
      </c>
      <c r="K201" s="10">
        <v>0.46979164709747701</v>
      </c>
      <c r="L201" s="10">
        <v>0.31965937636944503</v>
      </c>
      <c r="M201" s="10">
        <v>4.2596479763235599E-2</v>
      </c>
      <c r="N201" s="10">
        <v>0.31965937636944503</v>
      </c>
      <c r="O201" s="10">
        <v>0.35952863088202303</v>
      </c>
      <c r="P201" s="10">
        <v>0.37801395297624701</v>
      </c>
    </row>
    <row r="202" spans="1:16" x14ac:dyDescent="0.25">
      <c r="A202" t="s">
        <v>71</v>
      </c>
      <c r="B202" t="s">
        <v>67</v>
      </c>
      <c r="C202" t="s">
        <v>24</v>
      </c>
      <c r="D202" t="s">
        <v>25</v>
      </c>
      <c r="E202" t="s">
        <v>82</v>
      </c>
      <c r="F202" s="9">
        <v>6</v>
      </c>
      <c r="G202" s="10">
        <v>2.52399675865502</v>
      </c>
      <c r="H202" s="10">
        <v>0.30549415943283098</v>
      </c>
      <c r="I202" s="10">
        <v>2.2548247204166501</v>
      </c>
      <c r="J202" s="10">
        <v>2.4778243526574801</v>
      </c>
      <c r="K202" s="10">
        <v>2.72987285594095</v>
      </c>
      <c r="L202" s="10">
        <v>1.93565488779154</v>
      </c>
      <c r="M202" s="10">
        <v>0.21038217607852999</v>
      </c>
      <c r="N202" s="10">
        <v>1.93565488779154</v>
      </c>
      <c r="O202" s="10">
        <v>2.0761700474049301</v>
      </c>
      <c r="P202" s="10">
        <v>2.2043596343463201</v>
      </c>
    </row>
    <row r="203" spans="1:16" x14ac:dyDescent="0.25">
      <c r="A203" t="s">
        <v>71</v>
      </c>
      <c r="B203" t="s">
        <v>67</v>
      </c>
      <c r="C203" t="s">
        <v>26</v>
      </c>
      <c r="D203" t="s">
        <v>27</v>
      </c>
      <c r="E203" t="s">
        <v>82</v>
      </c>
      <c r="F203" s="9">
        <v>6</v>
      </c>
      <c r="G203" s="10">
        <v>0.70299871418458604</v>
      </c>
      <c r="H203" s="10">
        <v>8.9420687108594105E-2</v>
      </c>
      <c r="I203" s="10">
        <v>0.65642759582046595</v>
      </c>
      <c r="J203" s="10">
        <v>0.66956726572729797</v>
      </c>
      <c r="K203" s="10">
        <v>0.75685111757250101</v>
      </c>
      <c r="L203" s="10">
        <v>0.56080221159982102</v>
      </c>
      <c r="M203" s="10">
        <v>6.2741559780717299E-2</v>
      </c>
      <c r="N203" s="10">
        <v>0.56080221159982102</v>
      </c>
      <c r="O203" s="10">
        <v>0.56622283284228003</v>
      </c>
      <c r="P203" s="10">
        <v>0.60219138138698103</v>
      </c>
    </row>
    <row r="204" spans="1:16" x14ac:dyDescent="0.25">
      <c r="A204" t="s">
        <v>71</v>
      </c>
      <c r="B204" t="s">
        <v>67</v>
      </c>
      <c r="C204" t="s">
        <v>28</v>
      </c>
      <c r="D204" t="s">
        <v>29</v>
      </c>
      <c r="E204" t="s">
        <v>82</v>
      </c>
      <c r="F204" s="9">
        <v>6</v>
      </c>
      <c r="G204" s="10">
        <v>7.0059796191781501E-2</v>
      </c>
      <c r="H204" s="10">
        <v>1.54186487723231E-2</v>
      </c>
      <c r="I204" s="10">
        <v>5.70900021618371E-2</v>
      </c>
      <c r="J204" s="10">
        <v>6.8789397162822397E-2</v>
      </c>
      <c r="K204" s="10">
        <v>7.8082436440671296E-2</v>
      </c>
      <c r="L204" s="10">
        <v>4.6226250630981999E-2</v>
      </c>
      <c r="M204" s="10">
        <v>1.42716962864216E-2</v>
      </c>
      <c r="N204" s="10">
        <v>4.6226250630981999E-2</v>
      </c>
      <c r="O204" s="10">
        <v>5.8432778159928297E-2</v>
      </c>
      <c r="P204" s="10">
        <v>6.5267434676241798E-2</v>
      </c>
    </row>
    <row r="205" spans="1:16" x14ac:dyDescent="0.25">
      <c r="A205" t="s">
        <v>71</v>
      </c>
      <c r="B205" t="s">
        <v>9</v>
      </c>
      <c r="C205" t="s">
        <v>30</v>
      </c>
      <c r="D205" t="s">
        <v>31</v>
      </c>
      <c r="E205" t="s">
        <v>82</v>
      </c>
      <c r="F205" s="9">
        <v>0</v>
      </c>
      <c r="G205" s="13" t="s">
        <v>11</v>
      </c>
      <c r="H205" s="13" t="s">
        <v>11</v>
      </c>
      <c r="I205" s="13" t="s">
        <v>11</v>
      </c>
      <c r="J205" s="13" t="s">
        <v>11</v>
      </c>
      <c r="K205" s="13" t="s">
        <v>11</v>
      </c>
      <c r="L205" s="13" t="s">
        <v>11</v>
      </c>
      <c r="M205" s="13" t="s">
        <v>11</v>
      </c>
      <c r="N205" s="13" t="s">
        <v>11</v>
      </c>
      <c r="O205" s="13" t="s">
        <v>11</v>
      </c>
      <c r="P205" s="13" t="s">
        <v>11</v>
      </c>
    </row>
    <row r="206" spans="1:16" x14ac:dyDescent="0.25">
      <c r="A206" t="s">
        <v>71</v>
      </c>
      <c r="B206" t="s">
        <v>9</v>
      </c>
      <c r="C206" t="s">
        <v>32</v>
      </c>
      <c r="D206" t="s">
        <v>33</v>
      </c>
      <c r="E206" t="s">
        <v>82</v>
      </c>
      <c r="F206" s="9">
        <v>0</v>
      </c>
      <c r="G206" s="13" t="s">
        <v>11</v>
      </c>
      <c r="H206" s="13" t="s">
        <v>11</v>
      </c>
      <c r="I206" s="13" t="s">
        <v>11</v>
      </c>
      <c r="J206" s="13" t="s">
        <v>11</v>
      </c>
      <c r="K206" s="13" t="s">
        <v>11</v>
      </c>
      <c r="L206" s="13" t="s">
        <v>11</v>
      </c>
      <c r="M206" s="13" t="s">
        <v>11</v>
      </c>
      <c r="N206" s="13" t="s">
        <v>11</v>
      </c>
      <c r="O206" s="13" t="s">
        <v>11</v>
      </c>
      <c r="P206" s="13" t="s">
        <v>11</v>
      </c>
    </row>
    <row r="207" spans="1:16" x14ac:dyDescent="0.25">
      <c r="A207" t="s">
        <v>71</v>
      </c>
      <c r="B207" t="s">
        <v>9</v>
      </c>
      <c r="C207" t="s">
        <v>34</v>
      </c>
      <c r="D207" t="s">
        <v>35</v>
      </c>
      <c r="E207" t="s">
        <v>82</v>
      </c>
      <c r="F207" s="9">
        <v>0</v>
      </c>
      <c r="G207" s="13" t="s">
        <v>11</v>
      </c>
      <c r="H207" s="13" t="s">
        <v>11</v>
      </c>
      <c r="I207" s="13" t="s">
        <v>11</v>
      </c>
      <c r="J207" s="13" t="s">
        <v>11</v>
      </c>
      <c r="K207" s="13" t="s">
        <v>11</v>
      </c>
      <c r="L207" s="13" t="s">
        <v>11</v>
      </c>
      <c r="M207" s="13" t="s">
        <v>11</v>
      </c>
      <c r="N207" s="13" t="s">
        <v>11</v>
      </c>
      <c r="O207" s="13" t="s">
        <v>11</v>
      </c>
      <c r="P207" s="13" t="s">
        <v>11</v>
      </c>
    </row>
    <row r="208" spans="1:16" x14ac:dyDescent="0.25">
      <c r="A208" t="s">
        <v>71</v>
      </c>
      <c r="B208" t="s">
        <v>9</v>
      </c>
      <c r="C208" t="s">
        <v>36</v>
      </c>
      <c r="D208" t="s">
        <v>37</v>
      </c>
      <c r="E208" t="s">
        <v>82</v>
      </c>
      <c r="F208" s="9">
        <v>0</v>
      </c>
      <c r="G208" s="13" t="s">
        <v>11</v>
      </c>
      <c r="H208" s="13" t="s">
        <v>11</v>
      </c>
      <c r="I208" s="13" t="s">
        <v>11</v>
      </c>
      <c r="J208" s="13" t="s">
        <v>11</v>
      </c>
      <c r="K208" s="13" t="s">
        <v>11</v>
      </c>
      <c r="L208" s="13" t="s">
        <v>11</v>
      </c>
      <c r="M208" s="13" t="s">
        <v>11</v>
      </c>
      <c r="N208" s="13" t="s">
        <v>11</v>
      </c>
      <c r="O208" s="13" t="s">
        <v>11</v>
      </c>
      <c r="P208" s="13" t="s">
        <v>11</v>
      </c>
    </row>
    <row r="209" spans="1:16" x14ac:dyDescent="0.25">
      <c r="A209" t="s">
        <v>71</v>
      </c>
      <c r="B209" t="s">
        <v>9</v>
      </c>
      <c r="C209" t="s">
        <v>38</v>
      </c>
      <c r="D209" t="s">
        <v>39</v>
      </c>
      <c r="E209" t="s">
        <v>82</v>
      </c>
      <c r="F209" s="9">
        <v>6</v>
      </c>
      <c r="G209" s="10">
        <v>0.86834573606541798</v>
      </c>
      <c r="H209" s="10">
        <v>3.1035266562248399E-2</v>
      </c>
      <c r="I209" s="10">
        <v>0.85687903218801598</v>
      </c>
      <c r="J209" s="10">
        <v>0.87355624616140604</v>
      </c>
      <c r="K209" s="10">
        <v>0.881968514856596</v>
      </c>
      <c r="L209" s="10">
        <v>0.690765198141984</v>
      </c>
      <c r="M209" s="10">
        <v>4.13547540598923E-2</v>
      </c>
      <c r="N209" s="10">
        <v>0.690765198141984</v>
      </c>
      <c r="O209" s="10">
        <v>0.71446512325008005</v>
      </c>
      <c r="P209" s="10">
        <v>0.75380238057940896</v>
      </c>
    </row>
    <row r="210" spans="1:16" x14ac:dyDescent="0.25">
      <c r="A210" t="s">
        <v>71</v>
      </c>
      <c r="B210" t="s">
        <v>9</v>
      </c>
      <c r="C210" t="s">
        <v>40</v>
      </c>
      <c r="D210" t="s">
        <v>41</v>
      </c>
      <c r="E210" t="s">
        <v>82</v>
      </c>
      <c r="F210" s="9">
        <v>0</v>
      </c>
      <c r="G210" s="13" t="s">
        <v>11</v>
      </c>
      <c r="H210" s="13" t="s">
        <v>11</v>
      </c>
      <c r="I210" s="13" t="s">
        <v>11</v>
      </c>
      <c r="J210" s="13" t="s">
        <v>11</v>
      </c>
      <c r="K210" s="13" t="s">
        <v>11</v>
      </c>
      <c r="L210" s="13" t="s">
        <v>11</v>
      </c>
      <c r="M210" s="13" t="s">
        <v>11</v>
      </c>
      <c r="N210" s="13" t="s">
        <v>11</v>
      </c>
      <c r="O210" s="13" t="s">
        <v>11</v>
      </c>
      <c r="P210" s="13" t="s">
        <v>11</v>
      </c>
    </row>
    <row r="211" spans="1:16" x14ac:dyDescent="0.25">
      <c r="A211" t="s">
        <v>71</v>
      </c>
      <c r="B211" t="s">
        <v>9</v>
      </c>
      <c r="C211" t="s">
        <v>42</v>
      </c>
      <c r="D211" t="s">
        <v>43</v>
      </c>
      <c r="E211" t="s">
        <v>82</v>
      </c>
      <c r="F211" s="9">
        <v>0</v>
      </c>
      <c r="G211" s="13" t="s">
        <v>11</v>
      </c>
      <c r="H211" s="13" t="s">
        <v>11</v>
      </c>
      <c r="I211" s="13" t="s">
        <v>11</v>
      </c>
      <c r="J211" s="13" t="s">
        <v>11</v>
      </c>
      <c r="K211" s="13" t="s">
        <v>11</v>
      </c>
      <c r="L211" s="13" t="s">
        <v>11</v>
      </c>
      <c r="M211" s="13" t="s">
        <v>11</v>
      </c>
      <c r="N211" s="13" t="s">
        <v>11</v>
      </c>
      <c r="O211" s="13" t="s">
        <v>11</v>
      </c>
      <c r="P211" s="13" t="s">
        <v>11</v>
      </c>
    </row>
    <row r="212" spans="1:16" x14ac:dyDescent="0.25">
      <c r="A212" t="s">
        <v>71</v>
      </c>
      <c r="B212" t="s">
        <v>12</v>
      </c>
      <c r="C212" t="s">
        <v>44</v>
      </c>
      <c r="D212" t="s">
        <v>45</v>
      </c>
      <c r="E212" t="s">
        <v>82</v>
      </c>
      <c r="F212" s="9">
        <v>6</v>
      </c>
      <c r="G212" s="10">
        <v>0.139236475616485</v>
      </c>
      <c r="H212" s="10">
        <v>9.6742554729493998E-3</v>
      </c>
      <c r="I212" s="10">
        <v>0.13257389221142299</v>
      </c>
      <c r="J212" s="10">
        <v>0.13845843842785699</v>
      </c>
      <c r="K212" s="10">
        <v>0.145686286559462</v>
      </c>
      <c r="L212" s="10">
        <v>0.11170750132181601</v>
      </c>
      <c r="M212" s="10">
        <v>8.3439991147222208E-3</v>
      </c>
      <c r="N212" s="10">
        <v>0.11170750132181601</v>
      </c>
      <c r="O212" s="10">
        <v>0.117272693298204</v>
      </c>
      <c r="P212" s="10">
        <v>0.122396136426293</v>
      </c>
    </row>
    <row r="213" spans="1:16" x14ac:dyDescent="0.25">
      <c r="A213" t="s">
        <v>71</v>
      </c>
      <c r="B213" t="s">
        <v>12</v>
      </c>
      <c r="C213" t="s">
        <v>46</v>
      </c>
      <c r="D213" t="s">
        <v>47</v>
      </c>
      <c r="E213" t="s">
        <v>82</v>
      </c>
      <c r="F213" s="9">
        <v>0</v>
      </c>
      <c r="G213" s="13" t="s">
        <v>11</v>
      </c>
      <c r="H213" s="13" t="s">
        <v>11</v>
      </c>
      <c r="I213" s="13" t="s">
        <v>11</v>
      </c>
      <c r="J213" s="13" t="s">
        <v>11</v>
      </c>
      <c r="K213" s="13" t="s">
        <v>11</v>
      </c>
      <c r="L213" s="13" t="s">
        <v>11</v>
      </c>
      <c r="M213" s="13" t="s">
        <v>11</v>
      </c>
      <c r="N213" s="13" t="s">
        <v>11</v>
      </c>
      <c r="O213" s="13" t="s">
        <v>11</v>
      </c>
      <c r="P213" s="13" t="s">
        <v>11</v>
      </c>
    </row>
    <row r="214" spans="1:16" x14ac:dyDescent="0.25">
      <c r="A214" t="s">
        <v>71</v>
      </c>
      <c r="B214" t="s">
        <v>12</v>
      </c>
      <c r="C214" t="s">
        <v>48</v>
      </c>
      <c r="D214" t="s">
        <v>49</v>
      </c>
      <c r="E214" t="s">
        <v>82</v>
      </c>
      <c r="F214" s="9">
        <v>0</v>
      </c>
      <c r="G214" s="13" t="s">
        <v>11</v>
      </c>
      <c r="H214" s="13" t="s">
        <v>11</v>
      </c>
      <c r="I214" s="13" t="s">
        <v>11</v>
      </c>
      <c r="J214" s="13" t="s">
        <v>11</v>
      </c>
      <c r="K214" s="13" t="s">
        <v>11</v>
      </c>
      <c r="L214" s="13" t="s">
        <v>11</v>
      </c>
      <c r="M214" s="13" t="s">
        <v>11</v>
      </c>
      <c r="N214" s="13" t="s">
        <v>11</v>
      </c>
      <c r="O214" s="13" t="s">
        <v>11</v>
      </c>
      <c r="P214" s="13" t="s">
        <v>11</v>
      </c>
    </row>
    <row r="215" spans="1:16" x14ac:dyDescent="0.25">
      <c r="A215" t="s">
        <v>71</v>
      </c>
      <c r="B215" t="s">
        <v>14</v>
      </c>
      <c r="C215" t="s">
        <v>50</v>
      </c>
      <c r="D215" t="s">
        <v>51</v>
      </c>
      <c r="E215" t="s">
        <v>82</v>
      </c>
      <c r="F215" s="9">
        <v>0</v>
      </c>
      <c r="G215" s="13" t="s">
        <v>11</v>
      </c>
      <c r="H215" s="13" t="s">
        <v>11</v>
      </c>
      <c r="I215" s="13" t="s">
        <v>11</v>
      </c>
      <c r="J215" s="13" t="s">
        <v>11</v>
      </c>
      <c r="K215" s="13" t="s">
        <v>11</v>
      </c>
      <c r="L215" s="13" t="s">
        <v>11</v>
      </c>
      <c r="M215" s="13" t="s">
        <v>11</v>
      </c>
      <c r="N215" s="13" t="s">
        <v>11</v>
      </c>
      <c r="O215" s="13" t="s">
        <v>11</v>
      </c>
      <c r="P215" s="13" t="s">
        <v>11</v>
      </c>
    </row>
    <row r="216" spans="1:16" x14ac:dyDescent="0.25">
      <c r="A216" t="s">
        <v>71</v>
      </c>
      <c r="B216" t="s">
        <v>14</v>
      </c>
      <c r="C216" t="s">
        <v>52</v>
      </c>
      <c r="D216" t="s">
        <v>53</v>
      </c>
      <c r="E216" t="s">
        <v>82</v>
      </c>
      <c r="F216" s="9">
        <v>0</v>
      </c>
      <c r="G216" s="13" t="s">
        <v>11</v>
      </c>
      <c r="H216" s="13" t="s">
        <v>11</v>
      </c>
      <c r="I216" s="13" t="s">
        <v>11</v>
      </c>
      <c r="J216" s="13" t="s">
        <v>11</v>
      </c>
      <c r="K216" s="13" t="s">
        <v>11</v>
      </c>
      <c r="L216" s="13" t="s">
        <v>11</v>
      </c>
      <c r="M216" s="13" t="s">
        <v>11</v>
      </c>
      <c r="N216" s="13" t="s">
        <v>11</v>
      </c>
      <c r="O216" s="13" t="s">
        <v>11</v>
      </c>
      <c r="P216" s="13" t="s">
        <v>11</v>
      </c>
    </row>
    <row r="217" spans="1:16" x14ac:dyDescent="0.25">
      <c r="A217" s="8" t="s">
        <v>71</v>
      </c>
      <c r="B217" s="8" t="s">
        <v>14</v>
      </c>
      <c r="C217" s="8" t="s">
        <v>54</v>
      </c>
      <c r="D217" s="8" t="s">
        <v>55</v>
      </c>
      <c r="E217" s="8" t="s">
        <v>82</v>
      </c>
      <c r="F217" s="11">
        <v>0</v>
      </c>
      <c r="G217" s="14" t="s">
        <v>11</v>
      </c>
      <c r="H217" s="14" t="s">
        <v>11</v>
      </c>
      <c r="I217" s="14" t="s">
        <v>11</v>
      </c>
      <c r="J217" s="14" t="s">
        <v>11</v>
      </c>
      <c r="K217" s="14" t="s">
        <v>11</v>
      </c>
      <c r="L217" s="14" t="s">
        <v>11</v>
      </c>
      <c r="M217" s="14" t="s">
        <v>11</v>
      </c>
      <c r="N217" s="14" t="s">
        <v>11</v>
      </c>
      <c r="O217" s="14" t="s">
        <v>11</v>
      </c>
      <c r="P217" s="14" t="s">
        <v>11</v>
      </c>
    </row>
    <row r="218" spans="1:16" x14ac:dyDescent="0.25">
      <c r="A218" t="s">
        <v>71</v>
      </c>
      <c r="B218" t="s">
        <v>68</v>
      </c>
      <c r="C218" t="s">
        <v>67</v>
      </c>
      <c r="D218" t="s">
        <v>8</v>
      </c>
      <c r="E218" t="s">
        <v>83</v>
      </c>
      <c r="F218" s="9">
        <v>34</v>
      </c>
      <c r="G218" s="10">
        <v>5.7480388952509598</v>
      </c>
      <c r="H218" s="10">
        <v>1.34729190326743</v>
      </c>
      <c r="I218" s="10">
        <v>4.8390406771468104</v>
      </c>
      <c r="J218" s="10">
        <v>5.4146841805714203</v>
      </c>
      <c r="K218" s="10">
        <v>6.28209820994838</v>
      </c>
      <c r="L218" s="10">
        <v>6.1146445642120799</v>
      </c>
      <c r="M218" s="10">
        <v>0.86195602377658198</v>
      </c>
      <c r="N218" s="10">
        <v>6.1146445642120799</v>
      </c>
      <c r="O218" s="10">
        <v>6.81112441086578</v>
      </c>
      <c r="P218" s="10">
        <v>7.7105176699701801</v>
      </c>
    </row>
    <row r="219" spans="1:16" x14ac:dyDescent="0.25">
      <c r="A219" t="s">
        <v>71</v>
      </c>
      <c r="B219" t="s">
        <v>68</v>
      </c>
      <c r="C219" t="s">
        <v>9</v>
      </c>
      <c r="D219" t="s">
        <v>10</v>
      </c>
      <c r="E219" t="s">
        <v>83</v>
      </c>
      <c r="F219" s="9">
        <v>34</v>
      </c>
      <c r="G219" s="10">
        <v>3.8232554572957298</v>
      </c>
      <c r="H219" s="10">
        <v>1.0831426019826</v>
      </c>
      <c r="I219" s="10">
        <v>2.9418952423056099</v>
      </c>
      <c r="J219" s="10">
        <v>3.82690299361759</v>
      </c>
      <c r="K219" s="10">
        <v>4.3568793477070402</v>
      </c>
      <c r="L219" s="10">
        <v>3.59928299630241</v>
      </c>
      <c r="M219" s="10">
        <v>0.83956006975723896</v>
      </c>
      <c r="N219" s="10">
        <v>3.59928299630241</v>
      </c>
      <c r="O219" s="10">
        <v>5.1150368885906099</v>
      </c>
      <c r="P219" s="10">
        <v>5.2359066847689499</v>
      </c>
    </row>
    <row r="220" spans="1:16" x14ac:dyDescent="0.25">
      <c r="A220" t="s">
        <v>71</v>
      </c>
      <c r="B220" t="s">
        <v>68</v>
      </c>
      <c r="C220" t="s">
        <v>12</v>
      </c>
      <c r="D220" t="s">
        <v>13</v>
      </c>
      <c r="E220" t="s">
        <v>83</v>
      </c>
      <c r="F220" s="9">
        <v>34</v>
      </c>
      <c r="G220" s="10">
        <v>1.97675396199701</v>
      </c>
      <c r="H220" s="10">
        <v>0.652133241445504</v>
      </c>
      <c r="I220" s="10">
        <v>1.4598335089710299</v>
      </c>
      <c r="J220" s="10">
        <v>1.9132052883621999</v>
      </c>
      <c r="K220" s="10">
        <v>2.4100873324255301</v>
      </c>
      <c r="L220" s="10">
        <v>1.82038552983857</v>
      </c>
      <c r="M220" s="10">
        <v>0.68574318520961697</v>
      </c>
      <c r="N220" s="10">
        <v>1.82038552983857</v>
      </c>
      <c r="O220" s="10">
        <v>2.49877212909304</v>
      </c>
      <c r="P220" s="10">
        <v>3.0220194710718098</v>
      </c>
    </row>
    <row r="221" spans="1:16" x14ac:dyDescent="0.25">
      <c r="A221" t="s">
        <v>71</v>
      </c>
      <c r="B221" t="s">
        <v>68</v>
      </c>
      <c r="C221" t="s">
        <v>14</v>
      </c>
      <c r="D221" t="s">
        <v>15</v>
      </c>
      <c r="E221" t="s">
        <v>83</v>
      </c>
      <c r="F221" s="9">
        <v>34</v>
      </c>
      <c r="G221" s="10">
        <v>2.7763807047095002</v>
      </c>
      <c r="H221" s="10">
        <v>0.73795920468310605</v>
      </c>
      <c r="I221" s="10">
        <v>1.9777319693839099</v>
      </c>
      <c r="J221" s="10">
        <v>3.0309956428200899</v>
      </c>
      <c r="K221" s="10">
        <v>3.4909614962897502</v>
      </c>
      <c r="L221" s="10">
        <v>2.6007325231902798</v>
      </c>
      <c r="M221" s="10">
        <v>0.90945732860534501</v>
      </c>
      <c r="N221" s="10">
        <v>2.6007325231902798</v>
      </c>
      <c r="O221" s="10">
        <v>3.4148159778473901</v>
      </c>
      <c r="P221" s="10">
        <v>4.1782559223799396</v>
      </c>
    </row>
    <row r="222" spans="1:16" x14ac:dyDescent="0.25">
      <c r="A222" t="s">
        <v>71</v>
      </c>
      <c r="B222" t="s">
        <v>68</v>
      </c>
      <c r="C222" t="s">
        <v>16</v>
      </c>
      <c r="D222" t="s">
        <v>17</v>
      </c>
      <c r="E222" t="s">
        <v>83</v>
      </c>
      <c r="F222" s="9">
        <v>34</v>
      </c>
      <c r="G222" s="10">
        <v>1.0459781048033301</v>
      </c>
      <c r="H222" s="10">
        <v>0.28459237816099398</v>
      </c>
      <c r="I222" s="10">
        <v>0.80564578730505099</v>
      </c>
      <c r="J222" s="10">
        <v>1.0330657283769999</v>
      </c>
      <c r="K222" s="10">
        <v>1.23565515234881</v>
      </c>
      <c r="L222" s="10">
        <v>1.02146609245094</v>
      </c>
      <c r="M222" s="10">
        <v>0.28919623205438</v>
      </c>
      <c r="N222" s="10">
        <v>1.02146609245094</v>
      </c>
      <c r="O222" s="10">
        <v>1.14983297441171</v>
      </c>
      <c r="P222" s="10">
        <v>1.55310582969864</v>
      </c>
    </row>
    <row r="223" spans="1:16" x14ac:dyDescent="0.25">
      <c r="A223" t="s">
        <v>71</v>
      </c>
      <c r="B223" t="s">
        <v>67</v>
      </c>
      <c r="C223" t="s">
        <v>18</v>
      </c>
      <c r="D223" t="s">
        <v>19</v>
      </c>
      <c r="E223" t="s">
        <v>83</v>
      </c>
      <c r="F223" s="9">
        <v>34</v>
      </c>
      <c r="G223" s="10">
        <v>1.2500352565250299</v>
      </c>
      <c r="H223" s="10">
        <v>0.73518933923301699</v>
      </c>
      <c r="I223" s="10">
        <v>0.86354198697996398</v>
      </c>
      <c r="J223" s="10">
        <v>1.0978357632396001</v>
      </c>
      <c r="K223" s="10">
        <v>1.3247751049723699</v>
      </c>
      <c r="L223" s="10">
        <v>1.07804407827056</v>
      </c>
      <c r="M223" s="10">
        <v>0.60647319350731899</v>
      </c>
      <c r="N223" s="10">
        <v>1.07804407827056</v>
      </c>
      <c r="O223" s="10">
        <v>1.3936208434939299</v>
      </c>
      <c r="P223" s="10">
        <v>1.71403071373904</v>
      </c>
    </row>
    <row r="224" spans="1:16" x14ac:dyDescent="0.25">
      <c r="A224" t="s">
        <v>71</v>
      </c>
      <c r="B224" t="s">
        <v>67</v>
      </c>
      <c r="C224" t="s">
        <v>20</v>
      </c>
      <c r="D224" t="s">
        <v>21</v>
      </c>
      <c r="E224" t="s">
        <v>83</v>
      </c>
      <c r="F224" s="9">
        <v>34</v>
      </c>
      <c r="G224" s="10">
        <v>1.30324055069803</v>
      </c>
      <c r="H224" s="10">
        <v>1.3437265218382799</v>
      </c>
      <c r="I224" s="10">
        <v>0.85824400478434804</v>
      </c>
      <c r="J224" s="10">
        <v>0.99146875480836505</v>
      </c>
      <c r="K224" s="10">
        <v>1.1864741109387</v>
      </c>
      <c r="L224" s="10">
        <v>1.0870621916303</v>
      </c>
      <c r="M224" s="10">
        <v>1.14189046848197</v>
      </c>
      <c r="N224" s="10">
        <v>1.0870621916303</v>
      </c>
      <c r="O224" s="10">
        <v>1.2800799334423401</v>
      </c>
      <c r="P224" s="10">
        <v>1.4603853790292201</v>
      </c>
    </row>
    <row r="225" spans="1:16" x14ac:dyDescent="0.25">
      <c r="A225" t="s">
        <v>71</v>
      </c>
      <c r="B225" t="s">
        <v>67</v>
      </c>
      <c r="C225" t="s">
        <v>22</v>
      </c>
      <c r="D225" t="s">
        <v>23</v>
      </c>
      <c r="E225" t="s">
        <v>83</v>
      </c>
      <c r="F225" s="9">
        <v>34</v>
      </c>
      <c r="G225" s="10">
        <v>0.14733277889566301</v>
      </c>
      <c r="H225" s="10">
        <v>9.0737102389485999E-2</v>
      </c>
      <c r="I225" s="10">
        <v>0.10535983026508999</v>
      </c>
      <c r="J225" s="10">
        <v>0.12703824729428001</v>
      </c>
      <c r="K225" s="10">
        <v>0.158176345360281</v>
      </c>
      <c r="L225" s="10">
        <v>0.13614459680397301</v>
      </c>
      <c r="M225" s="10">
        <v>7.6414560944901094E-2</v>
      </c>
      <c r="N225" s="10">
        <v>0.13614459680397301</v>
      </c>
      <c r="O225" s="10">
        <v>0.15589665013962101</v>
      </c>
      <c r="P225" s="10">
        <v>0.19385241601293199</v>
      </c>
    </row>
    <row r="226" spans="1:16" x14ac:dyDescent="0.25">
      <c r="A226" t="s">
        <v>71</v>
      </c>
      <c r="B226" t="s">
        <v>67</v>
      </c>
      <c r="C226" t="s">
        <v>24</v>
      </c>
      <c r="D226" t="s">
        <v>25</v>
      </c>
      <c r="E226" t="s">
        <v>83</v>
      </c>
      <c r="F226" s="9">
        <v>34</v>
      </c>
      <c r="G226" s="10">
        <v>0.94007386499455303</v>
      </c>
      <c r="H226" s="10">
        <v>0.42103546876403503</v>
      </c>
      <c r="I226" s="10">
        <v>0.45109084336718602</v>
      </c>
      <c r="J226" s="10">
        <v>0.87307011860209305</v>
      </c>
      <c r="K226" s="10">
        <v>1.35674772662906</v>
      </c>
      <c r="L226" s="10">
        <v>0.54140865091548096</v>
      </c>
      <c r="M226" s="10">
        <v>0.52794212656624895</v>
      </c>
      <c r="N226" s="10">
        <v>0.54140865091548096</v>
      </c>
      <c r="O226" s="10">
        <v>1.12559278266208</v>
      </c>
      <c r="P226" s="10">
        <v>1.6770995745527399</v>
      </c>
    </row>
    <row r="227" spans="1:16" x14ac:dyDescent="0.25">
      <c r="A227" t="s">
        <v>71</v>
      </c>
      <c r="B227" t="s">
        <v>67</v>
      </c>
      <c r="C227" t="s">
        <v>26</v>
      </c>
      <c r="D227" t="s">
        <v>27</v>
      </c>
      <c r="E227" t="s">
        <v>83</v>
      </c>
      <c r="F227" s="9">
        <v>34</v>
      </c>
      <c r="G227" s="10">
        <v>9.8084469658460904E-2</v>
      </c>
      <c r="H227" s="10">
        <v>3.8401258694158502E-2</v>
      </c>
      <c r="I227" s="10">
        <v>6.42378022043473E-2</v>
      </c>
      <c r="J227" s="10">
        <v>8.2377145362321394E-2</v>
      </c>
      <c r="K227" s="10">
        <v>0.12863475158675</v>
      </c>
      <c r="L227" s="10">
        <v>7.6344849863580297E-2</v>
      </c>
      <c r="M227" s="10">
        <v>4.6361848035889101E-2</v>
      </c>
      <c r="N227" s="10">
        <v>7.6344849863580297E-2</v>
      </c>
      <c r="O227" s="10">
        <v>0.10028938169901901</v>
      </c>
      <c r="P227" s="10">
        <v>0.17427739978734</v>
      </c>
    </row>
    <row r="228" spans="1:16" x14ac:dyDescent="0.25">
      <c r="A228" t="s">
        <v>71</v>
      </c>
      <c r="B228" t="s">
        <v>67</v>
      </c>
      <c r="C228" t="s">
        <v>28</v>
      </c>
      <c r="D228" t="s">
        <v>29</v>
      </c>
      <c r="E228" t="s">
        <v>83</v>
      </c>
      <c r="F228" s="9">
        <v>34</v>
      </c>
      <c r="G228" s="10">
        <v>5.7672145364350898E-2</v>
      </c>
      <c r="H228" s="10">
        <v>1.94693465289924E-2</v>
      </c>
      <c r="I228" s="10">
        <v>4.37544882108859E-2</v>
      </c>
      <c r="J228" s="10">
        <v>5.3254819801515599E-2</v>
      </c>
      <c r="K228" s="10">
        <v>8.1803510774755298E-2</v>
      </c>
      <c r="L228" s="10">
        <v>5.5955470654920098E-2</v>
      </c>
      <c r="M228" s="10">
        <v>3.0053314277670499E-2</v>
      </c>
      <c r="N228" s="10">
        <v>5.5955470654920098E-2</v>
      </c>
      <c r="O228" s="10">
        <v>6.6153467918071696E-2</v>
      </c>
      <c r="P228" s="10">
        <v>9.7341090100060798E-2</v>
      </c>
    </row>
    <row r="229" spans="1:16" x14ac:dyDescent="0.25">
      <c r="A229" t="s">
        <v>71</v>
      </c>
      <c r="B229" t="s">
        <v>9</v>
      </c>
      <c r="C229" t="s">
        <v>30</v>
      </c>
      <c r="D229" t="s">
        <v>31</v>
      </c>
      <c r="E229" t="s">
        <v>83</v>
      </c>
      <c r="F229" s="9">
        <v>0</v>
      </c>
      <c r="G229" s="13" t="s">
        <v>11</v>
      </c>
      <c r="H229" s="13" t="s">
        <v>11</v>
      </c>
      <c r="I229" s="13" t="s">
        <v>11</v>
      </c>
      <c r="J229" s="13" t="s">
        <v>11</v>
      </c>
      <c r="K229" s="13" t="s">
        <v>11</v>
      </c>
      <c r="L229" s="13" t="s">
        <v>11</v>
      </c>
      <c r="M229" s="13" t="s">
        <v>11</v>
      </c>
      <c r="N229" s="13" t="s">
        <v>11</v>
      </c>
      <c r="O229" s="13" t="s">
        <v>11</v>
      </c>
      <c r="P229" s="13" t="s">
        <v>11</v>
      </c>
    </row>
    <row r="230" spans="1:16" x14ac:dyDescent="0.25">
      <c r="A230" t="s">
        <v>71</v>
      </c>
      <c r="B230" t="s">
        <v>9</v>
      </c>
      <c r="C230" t="s">
        <v>32</v>
      </c>
      <c r="D230" t="s">
        <v>33</v>
      </c>
      <c r="E230" t="s">
        <v>83</v>
      </c>
      <c r="F230" s="9">
        <v>0</v>
      </c>
      <c r="G230" s="13" t="s">
        <v>11</v>
      </c>
      <c r="H230" s="13" t="s">
        <v>11</v>
      </c>
      <c r="I230" s="13" t="s">
        <v>11</v>
      </c>
      <c r="J230" s="13" t="s">
        <v>11</v>
      </c>
      <c r="K230" s="13" t="s">
        <v>11</v>
      </c>
      <c r="L230" s="13" t="s">
        <v>11</v>
      </c>
      <c r="M230" s="13" t="s">
        <v>11</v>
      </c>
      <c r="N230" s="13" t="s">
        <v>11</v>
      </c>
      <c r="O230" s="13" t="s">
        <v>11</v>
      </c>
      <c r="P230" s="13" t="s">
        <v>11</v>
      </c>
    </row>
    <row r="231" spans="1:16" x14ac:dyDescent="0.25">
      <c r="A231" t="s">
        <v>71</v>
      </c>
      <c r="B231" t="s">
        <v>9</v>
      </c>
      <c r="C231" t="s">
        <v>34</v>
      </c>
      <c r="D231" t="s">
        <v>35</v>
      </c>
      <c r="E231" t="s">
        <v>83</v>
      </c>
      <c r="F231" s="9">
        <v>0</v>
      </c>
      <c r="G231" s="13" t="s">
        <v>11</v>
      </c>
      <c r="H231" s="13" t="s">
        <v>11</v>
      </c>
      <c r="I231" s="13" t="s">
        <v>11</v>
      </c>
      <c r="J231" s="13" t="s">
        <v>11</v>
      </c>
      <c r="K231" s="13" t="s">
        <v>11</v>
      </c>
      <c r="L231" s="13" t="s">
        <v>11</v>
      </c>
      <c r="M231" s="13" t="s">
        <v>11</v>
      </c>
      <c r="N231" s="13" t="s">
        <v>11</v>
      </c>
      <c r="O231" s="13" t="s">
        <v>11</v>
      </c>
      <c r="P231" s="13" t="s">
        <v>11</v>
      </c>
    </row>
    <row r="232" spans="1:16" x14ac:dyDescent="0.25">
      <c r="A232" t="s">
        <v>71</v>
      </c>
      <c r="B232" t="s">
        <v>9</v>
      </c>
      <c r="C232" t="s">
        <v>36</v>
      </c>
      <c r="D232" t="s">
        <v>37</v>
      </c>
      <c r="E232" t="s">
        <v>83</v>
      </c>
      <c r="F232" s="9">
        <v>34</v>
      </c>
      <c r="G232" s="10">
        <v>0.97562901691428205</v>
      </c>
      <c r="H232" s="10">
        <v>0.39910201188525901</v>
      </c>
      <c r="I232" s="10">
        <v>0.61672249410285096</v>
      </c>
      <c r="J232" s="10">
        <v>1.0761803689892699</v>
      </c>
      <c r="K232" s="10">
        <v>1.1025487986561</v>
      </c>
      <c r="L232" s="10">
        <v>0.81506265187699201</v>
      </c>
      <c r="M232" s="10">
        <v>0.35367073283301897</v>
      </c>
      <c r="N232" s="10">
        <v>0.81506265187699201</v>
      </c>
      <c r="O232" s="10">
        <v>1.24745088705308</v>
      </c>
      <c r="P232" s="10">
        <v>1.4440497466333799</v>
      </c>
    </row>
    <row r="233" spans="1:16" x14ac:dyDescent="0.25">
      <c r="A233" t="s">
        <v>71</v>
      </c>
      <c r="B233" t="s">
        <v>9</v>
      </c>
      <c r="C233" t="s">
        <v>38</v>
      </c>
      <c r="D233" t="s">
        <v>39</v>
      </c>
      <c r="E233" t="s">
        <v>83</v>
      </c>
      <c r="F233" s="9">
        <v>34</v>
      </c>
      <c r="G233" s="10">
        <v>0.84749928101090599</v>
      </c>
      <c r="H233" s="10">
        <v>2.2258954770538401E-2</v>
      </c>
      <c r="I233" s="10">
        <v>0.83238029338004305</v>
      </c>
      <c r="J233" s="10">
        <v>0.84223118787543405</v>
      </c>
      <c r="K233" s="10">
        <v>0.87087079134771495</v>
      </c>
      <c r="L233" s="10">
        <v>0.94807669465826505</v>
      </c>
      <c r="M233" s="10">
        <v>0.14957258500281001</v>
      </c>
      <c r="N233" s="10">
        <v>0.94807669465826505</v>
      </c>
      <c r="O233" s="10">
        <v>1.05666683206906</v>
      </c>
      <c r="P233" s="10">
        <v>1.1586528409599199</v>
      </c>
    </row>
    <row r="234" spans="1:16" x14ac:dyDescent="0.25">
      <c r="A234" t="s">
        <v>71</v>
      </c>
      <c r="B234" t="s">
        <v>9</v>
      </c>
      <c r="C234" t="s">
        <v>40</v>
      </c>
      <c r="D234" t="s">
        <v>41</v>
      </c>
      <c r="E234" t="s">
        <v>83</v>
      </c>
      <c r="F234" s="9">
        <v>34</v>
      </c>
      <c r="G234" s="10">
        <v>0.13213917213781901</v>
      </c>
      <c r="H234" s="10">
        <v>0.138109000756059</v>
      </c>
      <c r="I234" s="10">
        <v>0</v>
      </c>
      <c r="J234" s="10">
        <v>0.13517802652178201</v>
      </c>
      <c r="K234" s="10">
        <v>0.24466098654746901</v>
      </c>
      <c r="L234" s="10">
        <v>0</v>
      </c>
      <c r="M234" s="10">
        <v>0.14817753021126601</v>
      </c>
      <c r="N234" s="10">
        <v>0</v>
      </c>
      <c r="O234" s="10">
        <v>0.15512763537855001</v>
      </c>
      <c r="P234" s="10">
        <v>0.30758807032337399</v>
      </c>
    </row>
    <row r="235" spans="1:16" x14ac:dyDescent="0.25">
      <c r="A235" t="s">
        <v>71</v>
      </c>
      <c r="B235" t="s">
        <v>9</v>
      </c>
      <c r="C235" t="s">
        <v>42</v>
      </c>
      <c r="D235" t="s">
        <v>43</v>
      </c>
      <c r="E235" t="s">
        <v>83</v>
      </c>
      <c r="F235" s="9">
        <v>34</v>
      </c>
      <c r="G235" s="10">
        <v>0.40320006099008499</v>
      </c>
      <c r="H235" s="10">
        <v>0.30655105664711002</v>
      </c>
      <c r="I235" s="10">
        <v>0.17821641517521</v>
      </c>
      <c r="J235" s="10">
        <v>0.38283368645501797</v>
      </c>
      <c r="K235" s="10">
        <v>0.53571311046862202</v>
      </c>
      <c r="L235" s="10">
        <v>0.24175660124883</v>
      </c>
      <c r="M235" s="10">
        <v>0.32323070762284201</v>
      </c>
      <c r="N235" s="10">
        <v>0.24175660124883</v>
      </c>
      <c r="O235" s="10">
        <v>0.46041209274323402</v>
      </c>
      <c r="P235" s="10">
        <v>0.60383913695979496</v>
      </c>
    </row>
    <row r="236" spans="1:16" x14ac:dyDescent="0.25">
      <c r="A236" t="s">
        <v>71</v>
      </c>
      <c r="B236" t="s">
        <v>12</v>
      </c>
      <c r="C236" t="s">
        <v>44</v>
      </c>
      <c r="D236" t="s">
        <v>45</v>
      </c>
      <c r="E236" t="s">
        <v>83</v>
      </c>
      <c r="F236" s="9">
        <v>34</v>
      </c>
      <c r="G236" s="10">
        <v>0.54496519289286005</v>
      </c>
      <c r="H236" s="10">
        <v>0.146748843423292</v>
      </c>
      <c r="I236" s="10">
        <v>0.43806042462858402</v>
      </c>
      <c r="J236" s="10">
        <v>0.53185026304439398</v>
      </c>
      <c r="K236" s="10">
        <v>0.62415153228793996</v>
      </c>
      <c r="L236" s="10">
        <v>0.537037237218283</v>
      </c>
      <c r="M236" s="10">
        <v>0.156774142753596</v>
      </c>
      <c r="N236" s="10">
        <v>0.537037237218283</v>
      </c>
      <c r="O236" s="10">
        <v>0.64812477945715097</v>
      </c>
      <c r="P236" s="10">
        <v>0.79665578059285203</v>
      </c>
    </row>
    <row r="237" spans="1:16" x14ac:dyDescent="0.25">
      <c r="A237" t="s">
        <v>71</v>
      </c>
      <c r="B237" t="s">
        <v>12</v>
      </c>
      <c r="C237" t="s">
        <v>46</v>
      </c>
      <c r="D237" t="s">
        <v>47</v>
      </c>
      <c r="E237" t="s">
        <v>83</v>
      </c>
      <c r="F237" s="9">
        <v>34</v>
      </c>
      <c r="G237" s="10">
        <v>0.513280041535634</v>
      </c>
      <c r="H237" s="10">
        <v>0.17822213205260101</v>
      </c>
      <c r="I237" s="10">
        <v>0.39037833136203798</v>
      </c>
      <c r="J237" s="10">
        <v>0.48393087467961599</v>
      </c>
      <c r="K237" s="10">
        <v>0.65813862843929205</v>
      </c>
      <c r="L237" s="10">
        <v>0.50457489217287499</v>
      </c>
      <c r="M237" s="10">
        <v>0.177814411002339</v>
      </c>
      <c r="N237" s="10">
        <v>0.50457489217287499</v>
      </c>
      <c r="O237" s="10">
        <v>0.61802278066655503</v>
      </c>
      <c r="P237" s="10">
        <v>0.76785835803742797</v>
      </c>
    </row>
    <row r="238" spans="1:16" x14ac:dyDescent="0.25">
      <c r="A238" t="s">
        <v>71</v>
      </c>
      <c r="B238" t="s">
        <v>12</v>
      </c>
      <c r="C238" t="s">
        <v>48</v>
      </c>
      <c r="D238" t="s">
        <v>49</v>
      </c>
      <c r="E238" t="s">
        <v>83</v>
      </c>
      <c r="F238" s="9">
        <v>34</v>
      </c>
      <c r="G238" s="10">
        <v>0.16789139346419699</v>
      </c>
      <c r="H238" s="10">
        <v>0.18843967388563601</v>
      </c>
      <c r="I238" s="10">
        <v>-2.0726828239793198E-2</v>
      </c>
      <c r="J238" s="10">
        <v>0.13790972075730401</v>
      </c>
      <c r="K238" s="10">
        <v>0.29231313214244198</v>
      </c>
      <c r="L238" s="10">
        <v>-2.95394146766297E-2</v>
      </c>
      <c r="M238" s="10">
        <v>0.198587199048368</v>
      </c>
      <c r="N238" s="10">
        <v>-2.95394146766297E-2</v>
      </c>
      <c r="O238" s="10">
        <v>0.16684399915433701</v>
      </c>
      <c r="P238" s="10">
        <v>0.346711297013511</v>
      </c>
    </row>
    <row r="239" spans="1:16" x14ac:dyDescent="0.25">
      <c r="A239" t="s">
        <v>71</v>
      </c>
      <c r="B239" t="s">
        <v>14</v>
      </c>
      <c r="C239" t="s">
        <v>50</v>
      </c>
      <c r="D239" t="s">
        <v>51</v>
      </c>
      <c r="E239" t="s">
        <v>83</v>
      </c>
      <c r="F239" s="9">
        <v>34</v>
      </c>
      <c r="G239" s="10">
        <v>0.21353546255130201</v>
      </c>
      <c r="H239" s="10">
        <v>5.03803460742588E-2</v>
      </c>
      <c r="I239" s="10">
        <v>0.162966438026801</v>
      </c>
      <c r="J239" s="10">
        <v>0.22047081648136499</v>
      </c>
      <c r="K239" s="10">
        <v>0.269976248139352</v>
      </c>
      <c r="L239" s="10">
        <v>0.210515137421867</v>
      </c>
      <c r="M239" s="10">
        <v>6.7625109991199805E-2</v>
      </c>
      <c r="N239" s="10">
        <v>0.210515137421867</v>
      </c>
      <c r="O239" s="10">
        <v>0.263390184436953</v>
      </c>
      <c r="P239" s="10">
        <v>0.317312979262035</v>
      </c>
    </row>
    <row r="240" spans="1:16" x14ac:dyDescent="0.25">
      <c r="A240" t="s">
        <v>71</v>
      </c>
      <c r="B240" t="s">
        <v>14</v>
      </c>
      <c r="C240" t="s">
        <v>52</v>
      </c>
      <c r="D240" t="s">
        <v>53</v>
      </c>
      <c r="E240" t="s">
        <v>83</v>
      </c>
      <c r="F240" s="9">
        <v>0</v>
      </c>
      <c r="G240" s="13" t="s">
        <v>11</v>
      </c>
      <c r="H240" s="13" t="s">
        <v>11</v>
      </c>
      <c r="I240" s="13" t="s">
        <v>11</v>
      </c>
      <c r="J240" s="13" t="s">
        <v>11</v>
      </c>
      <c r="K240" s="13" t="s">
        <v>11</v>
      </c>
      <c r="L240" s="13" t="s">
        <v>11</v>
      </c>
      <c r="M240" s="13" t="s">
        <v>11</v>
      </c>
      <c r="N240" s="13" t="s">
        <v>11</v>
      </c>
      <c r="O240" s="13" t="s">
        <v>11</v>
      </c>
      <c r="P240" s="13" t="s">
        <v>11</v>
      </c>
    </row>
    <row r="241" spans="1:16" x14ac:dyDescent="0.25">
      <c r="A241" s="8" t="s">
        <v>71</v>
      </c>
      <c r="B241" s="8" t="s">
        <v>14</v>
      </c>
      <c r="C241" s="8" t="s">
        <v>54</v>
      </c>
      <c r="D241" s="8" t="s">
        <v>55</v>
      </c>
      <c r="E241" s="8" t="s">
        <v>83</v>
      </c>
      <c r="F241" s="11">
        <v>0</v>
      </c>
      <c r="G241" s="14" t="s">
        <v>11</v>
      </c>
      <c r="H241" s="14" t="s">
        <v>11</v>
      </c>
      <c r="I241" s="14" t="s">
        <v>11</v>
      </c>
      <c r="J241" s="14" t="s">
        <v>11</v>
      </c>
      <c r="K241" s="14" t="s">
        <v>11</v>
      </c>
      <c r="L241" s="14" t="s">
        <v>11</v>
      </c>
      <c r="M241" s="14" t="s">
        <v>11</v>
      </c>
      <c r="N241" s="14" t="s">
        <v>11</v>
      </c>
      <c r="O241" s="14" t="s">
        <v>11</v>
      </c>
      <c r="P241" s="14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Fig1</vt:lpstr>
      <vt:lpstr>Fig2Fig3</vt:lpstr>
      <vt:lpstr>Fig2Fig3Context</vt:lpstr>
      <vt:lpstr>Fig4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Staffell</dc:creator>
  <cp:lastModifiedBy>Iain Staffell</cp:lastModifiedBy>
  <dcterms:created xsi:type="dcterms:W3CDTF">2025-07-22T19:18:16Z</dcterms:created>
  <dcterms:modified xsi:type="dcterms:W3CDTF">2025-07-23T14:54:04Z</dcterms:modified>
</cp:coreProperties>
</file>